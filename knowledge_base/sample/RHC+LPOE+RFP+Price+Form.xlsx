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E04TCV-CIFS02.ent.ds.gsa.gov\PBS\Acquisition\PQAC\Daniel Ramirez\RHC LPOE\DB\Tab 10 Solicitation and Amendments\RFP\"/>
    </mc:Choice>
  </mc:AlternateContent>
  <xr:revisionPtr revIDLastSave="0" documentId="13_ncr:1_{37F3B2A0-9B48-415D-9836-C8600E7288D3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Track 1-Base+FF&amp;E" sheetId="1" r:id="rId1"/>
    <sheet name="Track 2-Base Scope Only" sheetId="2" r:id="rId2"/>
    <sheet name="Track 3 - Scope Refinement" sheetId="3" r:id="rId3"/>
    <sheet name="Optional Bid Ra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3" l="1"/>
  <c r="E43" i="3"/>
  <c r="E42" i="3"/>
  <c r="E41" i="3"/>
  <c r="E40" i="3"/>
  <c r="F35" i="3"/>
  <c r="F30" i="3"/>
  <c r="F28" i="3"/>
  <c r="F23" i="3"/>
  <c r="F19" i="3"/>
  <c r="F18" i="3"/>
  <c r="F17" i="3"/>
  <c r="F16" i="3"/>
  <c r="F13" i="3"/>
  <c r="F12" i="3"/>
  <c r="F11" i="3"/>
  <c r="F10" i="3"/>
  <c r="E42" i="2"/>
  <c r="E40" i="2"/>
  <c r="E39" i="2"/>
  <c r="E38" i="2"/>
  <c r="E37" i="2"/>
  <c r="E40" i="1"/>
  <c r="E39" i="1"/>
  <c r="E38" i="1"/>
  <c r="E42" i="1" s="1"/>
  <c r="E37" i="1"/>
</calcChain>
</file>

<file path=xl/sharedStrings.xml><?xml version="1.0" encoding="utf-8"?>
<sst xmlns="http://schemas.openxmlformats.org/spreadsheetml/2006/main" count="612" uniqueCount="208">
  <si>
    <t>GSA Solicitation No. 47PK0125R0002</t>
  </si>
  <si>
    <t>Contract Price Form</t>
  </si>
  <si>
    <t>Contract will be Firm-Fixed Price</t>
  </si>
  <si>
    <t>Track 1 - Base Scope of Work with Tenant Agency FF&amp;E Work Items</t>
  </si>
  <si>
    <t>(1) The Contractor must provide the lump sum Track 1 bid offer in the format below:</t>
  </si>
  <si>
    <t>CLIN #</t>
  </si>
  <si>
    <t>Scope Item</t>
  </si>
  <si>
    <t>Shell</t>
  </si>
  <si>
    <t>TI</t>
  </si>
  <si>
    <t>Total</t>
  </si>
  <si>
    <t>CLIN 0101</t>
  </si>
  <si>
    <t>Base Scope - Stormwater Channel Relocation - Construction</t>
  </si>
  <si>
    <t>$</t>
  </si>
  <si>
    <t>N/A</t>
  </si>
  <si>
    <t>CLIN 0102</t>
  </si>
  <si>
    <t xml:space="preserve">Base Scope - All Demolition - Design </t>
  </si>
  <si>
    <t>CLIN 0103</t>
  </si>
  <si>
    <t>Base Scope - All Demolition - Construction</t>
  </si>
  <si>
    <t>CLIN 0104</t>
  </si>
  <si>
    <t xml:space="preserve">Base Scope - Hazardous Material Abatement - Lead Abatement &amp; PCB Removal </t>
  </si>
  <si>
    <t>CLIN 0105</t>
  </si>
  <si>
    <t xml:space="preserve">Base Scope - Hazardous Material Abatement - Asbestos Abatement </t>
  </si>
  <si>
    <t>CLIN 0106</t>
  </si>
  <si>
    <t xml:space="preserve">Base Scope - Hazardous Material Abatement - Soil Remediation </t>
  </si>
  <si>
    <t>CLIN 0107</t>
  </si>
  <si>
    <t xml:space="preserve">Base Scope - Hazardous Material Abatement - Testing </t>
  </si>
  <si>
    <t>CLIN 0108</t>
  </si>
  <si>
    <t xml:space="preserve">Base Scope - Site Work &amp; Emergency Power - Design </t>
  </si>
  <si>
    <t>CLIN 0109</t>
  </si>
  <si>
    <t>Base Scope - Site Work &amp; Emergency Power - Construction</t>
  </si>
  <si>
    <t>CLIN 0110</t>
  </si>
  <si>
    <t>Base Scope - FMCSA Inspection Facility - Design</t>
  </si>
  <si>
    <t>CLIN 0111</t>
  </si>
  <si>
    <t>Base Scope - FMCSA Inspection Facility - Construction</t>
  </si>
  <si>
    <t>CLIN 0112</t>
  </si>
  <si>
    <t>Base Scope - POV Vehicle Inspection &amp; Outbound Inspection - Design</t>
  </si>
  <si>
    <t>CLIN 0113</t>
  </si>
  <si>
    <t>Base Scope - POV Vehicle Inspection &amp; Outbound Inspection - Construction</t>
  </si>
  <si>
    <t>CLIN 0114</t>
  </si>
  <si>
    <t>Base Scope - Main Building - Pedestrian Processing, Passport Control Unit &amp; Sallyport - Design</t>
  </si>
  <si>
    <t>CLIN 0115</t>
  </si>
  <si>
    <t>Base Scope - Main Building - Pedestrian Processing, Passport Control Unit &amp; Sallyport - Construction</t>
  </si>
  <si>
    <t>CLIN 0116</t>
  </si>
  <si>
    <t>Base Scope - Main Building - Admin &amp; Staff Services - Design</t>
  </si>
  <si>
    <t>CLIN 0117</t>
  </si>
  <si>
    <t>Base Scope - Main Building - Admin &amp; Staff Services - Construction</t>
  </si>
  <si>
    <t>CLIN 0118</t>
  </si>
  <si>
    <t>Base Scope - Main Building - Mission Support - Design</t>
  </si>
  <si>
    <t>CLIN 0119</t>
  </si>
  <si>
    <t>Base Scope - Main Building - Mission Support - Construction</t>
  </si>
  <si>
    <t>CLIN 0120</t>
  </si>
  <si>
    <t>Base Scope - Employee Parking Lot - Design</t>
  </si>
  <si>
    <t>CLIN 0121</t>
  </si>
  <si>
    <t>Base Scope - Employee Parking Lot - Construction</t>
  </si>
  <si>
    <t>CLIN 0122</t>
  </si>
  <si>
    <t>Base Scope - Public Facing Building - Design</t>
  </si>
  <si>
    <t>CLIN 0123</t>
  </si>
  <si>
    <t>Base Scope - Public Facing Building  - Construction</t>
  </si>
  <si>
    <t>Total GSA Project Base Scope (CLINS 0101 thru 0123)</t>
  </si>
  <si>
    <t>CLIN 0124</t>
  </si>
  <si>
    <t>Allowance 1 - Historic Buildings Mitigation Measures Construction</t>
  </si>
  <si>
    <t>CLIN 0125</t>
  </si>
  <si>
    <t>Allowance 2 - Art in Architecture New &amp; Existing</t>
  </si>
  <si>
    <t>CLIN 0126</t>
  </si>
  <si>
    <t>Allowance 3 - Stormwater 90% CD's Pending FEMA Comments for Approval</t>
  </si>
  <si>
    <t>CLIN 0127</t>
  </si>
  <si>
    <t xml:space="preserve">Allowance 4 - Additional Hazardous Material Conditions - Lead Abatement &amp; PCB Removal </t>
  </si>
  <si>
    <t>CLIN 0128</t>
  </si>
  <si>
    <t>Allowance 4 - Additional Hazardous Material Conditions - Asbestos Abatement</t>
  </si>
  <si>
    <t>CLIN 0129</t>
  </si>
  <si>
    <t>Allowance 4 - Additional Hazardous Material Conditions  - Soil Remediation</t>
  </si>
  <si>
    <t>CLIN 0130</t>
  </si>
  <si>
    <t>Allowance 4 - Additional Hazardous Material Conditions - Testing</t>
  </si>
  <si>
    <t>CLIN 0131</t>
  </si>
  <si>
    <t>Allowance 5 - Utilities Installation Costs</t>
  </si>
  <si>
    <t>Total GSA Project Allowances (CLINS 0124 thru 0131)</t>
  </si>
  <si>
    <t>CLIN 0132</t>
  </si>
  <si>
    <t>Tenant Agency FF&amp;E Work Item 1 - CBP Basic Systems - Design</t>
  </si>
  <si>
    <t>CLIN 0133</t>
  </si>
  <si>
    <t>Tenant Agency FF&amp;E Work Item 1 - CBP Basic Systems - Construction</t>
  </si>
  <si>
    <t>CLIN 0134</t>
  </si>
  <si>
    <t>Tenant Agency FF&amp;E Work Item 2 - CBP Furniture - Design</t>
  </si>
  <si>
    <t>CLIN 0135</t>
  </si>
  <si>
    <t>Tenant Agency FF&amp;E Work Item 2 - CBP Furniture - Construction</t>
  </si>
  <si>
    <t>CLIN 0136</t>
  </si>
  <si>
    <t xml:space="preserve">Tenant Agency FF&amp;E Work Item 2 - CBP Move Services </t>
  </si>
  <si>
    <t>CLIN 0137</t>
  </si>
  <si>
    <t>Tenant Agency FF&amp;E Work Item 3 - CBP Technology Systems - Design</t>
  </si>
  <si>
    <t>CLIN 0138</t>
  </si>
  <si>
    <t>Tenant Agency FF&amp;E Work Item 3 - CBP Technology Systems - Construction</t>
  </si>
  <si>
    <t>CLIN 0139</t>
  </si>
  <si>
    <t>Tenant Agency FF&amp;E Work Item 4 - CBP Relocation of Existing Inspection Booths - Design</t>
  </si>
  <si>
    <t>CLIN 0140</t>
  </si>
  <si>
    <t>Tenant Agency FF&amp;E Work Item 4 - CBP Relocation of Existing Inspection Booths - Construction</t>
  </si>
  <si>
    <t>CLIN 0141</t>
  </si>
  <si>
    <t>Tenant Agency FF&amp;E Work Item 5 - CBP Initial Build Out for 4 Inbound LEP Lanes and 1 Outbound LEP Lane Infrastructure - Design</t>
  </si>
  <si>
    <t>CLIN 0142</t>
  </si>
  <si>
    <t>Tenant Agency FF&amp;E Work Item 5 - CBP Initial Build Out for 4 Inbound LEP Lanes and 1 Outbound LEP Lane Infrastructure - Construction</t>
  </si>
  <si>
    <t>CLIN 0143</t>
  </si>
  <si>
    <t>Tenant Agency FF&amp;E Work Item 6 - CBP Floor Finish Changes to Concrete as Noted and Identified - Design</t>
  </si>
  <si>
    <t>CLIN 0144</t>
  </si>
  <si>
    <t>Tenant Agency FF&amp;E Work Item 6 - CBP Floor Finish Changes to Concrete as Noted and Identified - Construction</t>
  </si>
  <si>
    <t>CLIN 0145</t>
  </si>
  <si>
    <t>Tenant Agency FF&amp;E Work Item 7 - ICE Basic Systems - Design Only</t>
  </si>
  <si>
    <t>CLIN 0146</t>
  </si>
  <si>
    <t>Tenant Agency FF&amp;E Work Item 8 - FMCSA Basic Systems - Design Only</t>
  </si>
  <si>
    <t>CLIN 0147</t>
  </si>
  <si>
    <t>Tenant Agency FF&amp;E Work Item 9 - GSA Building Management Offices IT - Design Only</t>
  </si>
  <si>
    <t>Total Tenant Agency FF&amp;E Work Items (CLINS 0132 thru 0147)</t>
  </si>
  <si>
    <t>TOTAL EVALUATED PRICE FOR TRACK 1 (CLINS 0101 thru 0147)</t>
  </si>
  <si>
    <t>Track 2 - Base Scope of Work Only</t>
  </si>
  <si>
    <t>(2) The Contractor must provide the lump sum Track 2 bid offer in the format below:</t>
  </si>
  <si>
    <t>CLIN 0201</t>
  </si>
  <si>
    <t>CLIN 0202</t>
  </si>
  <si>
    <t>CLIN 0203</t>
  </si>
  <si>
    <t>CLIN 0204</t>
  </si>
  <si>
    <t>CLIN 0205</t>
  </si>
  <si>
    <t>CLIN 0206</t>
  </si>
  <si>
    <t>CLIN 0207</t>
  </si>
  <si>
    <t>CLIN 0208</t>
  </si>
  <si>
    <t>CLIN 0209</t>
  </si>
  <si>
    <t>CLIN 0210</t>
  </si>
  <si>
    <t>CLIN 0211</t>
  </si>
  <si>
    <t>CLIN 0212</t>
  </si>
  <si>
    <t>CLIN 0213</t>
  </si>
  <si>
    <t>CLIN 0214</t>
  </si>
  <si>
    <t>CLIN 0215</t>
  </si>
  <si>
    <t>CLIN 0216</t>
  </si>
  <si>
    <t>CLIN 0217</t>
  </si>
  <si>
    <t>CLIN 0218</t>
  </si>
  <si>
    <t>CLIN 0219</t>
  </si>
  <si>
    <t>CLIN 0220</t>
  </si>
  <si>
    <t>CLIN 0221</t>
  </si>
  <si>
    <t>CLIN 0222</t>
  </si>
  <si>
    <t>CLIN 0223</t>
  </si>
  <si>
    <t>TOTAL EVALUATED PRICE FOR TRACK 1 (CLINS 0201 thru 0223)</t>
  </si>
  <si>
    <t>CLIN 0224</t>
  </si>
  <si>
    <t>CLIN 0225</t>
  </si>
  <si>
    <t>CLIN 0226</t>
  </si>
  <si>
    <t>CLIN 0227</t>
  </si>
  <si>
    <t>CLIN 0228</t>
  </si>
  <si>
    <t>CLIN 0229</t>
  </si>
  <si>
    <t>CLIN 0230</t>
  </si>
  <si>
    <t>CLIN 0231</t>
  </si>
  <si>
    <t>Total GSA Project Allowances (CLINS 0224 thru 0231)</t>
  </si>
  <si>
    <t>TOTAL EVALUATED PRICE FOR TRACK 2 (CLINS 0201 thru 0231)</t>
  </si>
  <si>
    <t>Track 3 - Scope Refinement</t>
  </si>
  <si>
    <t>(3) The Contractor must provide the lump sum Track 3 bid offer in the format below:</t>
  </si>
  <si>
    <t>Total (Shell + TI)</t>
  </si>
  <si>
    <t>CBP Shell Cost</t>
  </si>
  <si>
    <t>CLIN 0301</t>
  </si>
  <si>
    <t>CLIN 0302</t>
  </si>
  <si>
    <t xml:space="preserve">Base Scope - Demolition - Design </t>
  </si>
  <si>
    <t>CLIN 0303</t>
  </si>
  <si>
    <t>Base Scope - Demolition - Construction</t>
  </si>
  <si>
    <t>CLIN 0304</t>
  </si>
  <si>
    <t>CLIN 0305</t>
  </si>
  <si>
    <t>CLIN 0306</t>
  </si>
  <si>
    <t>CLIN 0307</t>
  </si>
  <si>
    <t>CLIN 0308</t>
  </si>
  <si>
    <t>CLIN 0309</t>
  </si>
  <si>
    <t>CLIN 0310</t>
  </si>
  <si>
    <t>Base Scope - Main Building - Pedestrian Processing, Passport Cotrol Unit &amp; Sallyport - Design</t>
  </si>
  <si>
    <t>CLIN 0311</t>
  </si>
  <si>
    <t>CLIN 0312</t>
  </si>
  <si>
    <t>CLIN 0313</t>
  </si>
  <si>
    <t>CLIN 0314</t>
  </si>
  <si>
    <t>CLIN 0315</t>
  </si>
  <si>
    <t>Option 1* - Main Building - Pedestrian Processing, Passport Control Unit &amp; Sally Port - Historic Buildings Demolition</t>
  </si>
  <si>
    <t>CLIN 0316</t>
  </si>
  <si>
    <t>Option 1* - Hazardous Material Abatement - Lead Abatement &amp; PCB Removal</t>
  </si>
  <si>
    <t>CLIN 0317</t>
  </si>
  <si>
    <t>Option 1* - Hazardous Material Abatement - Asbestos Abatement</t>
  </si>
  <si>
    <t>CLIN 0318</t>
  </si>
  <si>
    <t>Option 1* - Hazardous Material Abatement - Soil Remediation</t>
  </si>
  <si>
    <t>CLIN 0319</t>
  </si>
  <si>
    <t>Option 1*- Hazardous Material Abatement - Testing</t>
  </si>
  <si>
    <t>CLIN 0320</t>
  </si>
  <si>
    <t>Option 1* - Main Building - Pedestrian Processing, Passport Control Unit &amp; Sallyport - Construction</t>
  </si>
  <si>
    <t>CLIN 0321</t>
  </si>
  <si>
    <t>Option 2* - Main Building - Admin &amp; Staff Services - Headhouse Demolition</t>
  </si>
  <si>
    <t>CLIN 0322</t>
  </si>
  <si>
    <t>Option 2*- Main Building - Admin &amp; Staff Services - Construction</t>
  </si>
  <si>
    <t>CLIN 0323</t>
  </si>
  <si>
    <t>Option 3* - Main Building - Mission Support - Commerical Inspection &amp; Remaining Site Demolition</t>
  </si>
  <si>
    <t>CLIN 0324</t>
  </si>
  <si>
    <t>Option 3* - Main Building - Mission Support - Construction</t>
  </si>
  <si>
    <t>CLIN 0325</t>
  </si>
  <si>
    <t>Option 4*-  Employee Parking Lot - Construction</t>
  </si>
  <si>
    <t>CLIN 0326</t>
  </si>
  <si>
    <t>Option 5* - Public Facing Building  - Construction</t>
  </si>
  <si>
    <t>Total GSA Project Base Scope (CLINS 0301 thru 0326)</t>
  </si>
  <si>
    <t>CLIN 0327</t>
  </si>
  <si>
    <t>CLIN 0328</t>
  </si>
  <si>
    <t>CLIN 0329</t>
  </si>
  <si>
    <t>CLIN 0330</t>
  </si>
  <si>
    <t>CLIN 0331</t>
  </si>
  <si>
    <t>CLIN 0332</t>
  </si>
  <si>
    <t>CLIN 0333</t>
  </si>
  <si>
    <t>CLIN 0334</t>
  </si>
  <si>
    <t>Total GSA Project Allowances (CLINS 0327 thru 0334)</t>
  </si>
  <si>
    <t>TOTAL EVALUATED PRICE FOR TRACK 3 (CLINS 0301 thru 0334)</t>
  </si>
  <si>
    <t xml:space="preserve">* The term "Option" is not intended as a Contractual Option with a designated time frame to be excercised in. This is term used throughout the design concept as an alternate base pricing path at award. </t>
  </si>
  <si>
    <t>OPTIONAL BID RATES 
(Proposed as a baseline - but to be negotiated with each contract change. These rates will not be used as a basis of the award decision)</t>
  </si>
  <si>
    <t>Contractor’s Overhead Rate for Adjustments</t>
  </si>
  <si>
    <t>%</t>
  </si>
  <si>
    <t>Contractor’s Profit Rate for Adjustments</t>
  </si>
  <si>
    <t>Contractor’s Daily Rate for Compensable Project Delay (Work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</si>
</sst>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  <numFmt numFmtId="166" formatCode="&quot;$&quot;#,##0.00"/>
  </numFmts>
  <fonts count="6">
    <font>
      <sz val="11"/>
      <color theme="1"/>
      <name val="Aptos Narrow"/>
      <scheme val="minor"/>
    </font>
    <font>
      <sz val="13"/>
      <color rgb="FF000000"/>
      <name val="Calibri"/>
    </font>
    <font>
      <b/>
      <sz val="13"/>
      <color rgb="FF000000"/>
      <name val="Calibri"/>
    </font>
    <font>
      <sz val="13"/>
      <color theme="1"/>
      <name val="Aptos Narrow"/>
      <scheme val="minor"/>
    </font>
    <font>
      <sz val="13"/>
      <color rgb="FF000000"/>
      <name val="&quot;Aptos Narrow&quot;"/>
    </font>
    <font>
      <sz val="13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9900"/>
      </patternFill>
    </fill>
    <fill>
      <patternFill patternType="solid">
        <fgColor theme="0" tint="-4.9989318521683403E-2"/>
        <bgColor rgb="FF00FFFF"/>
      </patternFill>
    </fill>
    <fill>
      <patternFill patternType="solid">
        <fgColor theme="0" tint="-4.9989318521683403E-2"/>
        <bgColor rgb="FFFF990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164" fontId="2" fillId="0" borderId="0" xfId="0" applyNumberFormat="1" applyFont="1" applyAlignment="1">
      <alignment horizontal="right" vertical="center" wrapText="1"/>
    </xf>
    <xf numFmtId="0" fontId="2" fillId="4" borderId="0" xfId="0" applyFont="1" applyFill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left" wrapText="1"/>
    </xf>
    <xf numFmtId="0" fontId="1" fillId="0" borderId="0" xfId="0" applyFont="1" applyAlignment="1">
      <alignment wrapText="1"/>
    </xf>
    <xf numFmtId="164" fontId="2" fillId="0" borderId="0" xfId="0" applyNumberFormat="1" applyFont="1" applyAlignment="1">
      <alignment horizontal="right" wrapText="1"/>
    </xf>
    <xf numFmtId="0" fontId="1" fillId="5" borderId="0" xfId="0" applyFont="1" applyFill="1" applyAlignment="1">
      <alignment wrapText="1"/>
    </xf>
    <xf numFmtId="0" fontId="2" fillId="5" borderId="0" xfId="0" applyFont="1" applyFill="1" applyAlignment="1">
      <alignment horizontal="right" wrapText="1"/>
    </xf>
    <xf numFmtId="164" fontId="2" fillId="5" borderId="0" xfId="0" applyNumberFormat="1" applyFont="1" applyFill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2" fillId="4" borderId="0" xfId="0" applyFont="1" applyFill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1" fillId="5" borderId="0" xfId="0" applyFont="1" applyFill="1"/>
    <xf numFmtId="164" fontId="2" fillId="5" borderId="0" xfId="0" applyNumberFormat="1" applyFont="1" applyFill="1" applyAlignment="1">
      <alignment horizontal="left"/>
    </xf>
    <xf numFmtId="0" fontId="4" fillId="0" borderId="0" xfId="0" applyFont="1"/>
    <xf numFmtId="0" fontId="4" fillId="0" borderId="1" xfId="0" applyFont="1" applyBorder="1"/>
    <xf numFmtId="0" fontId="2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44" fontId="2" fillId="0" borderId="0" xfId="0" applyNumberFormat="1" applyFont="1" applyAlignment="1">
      <alignment horizontal="left" vertical="center"/>
    </xf>
    <xf numFmtId="44" fontId="2" fillId="0" borderId="0" xfId="0" applyNumberFormat="1" applyFont="1" applyAlignment="1">
      <alignment horizontal="center" vertical="center"/>
    </xf>
    <xf numFmtId="44" fontId="2" fillId="3" borderId="2" xfId="0" applyNumberFormat="1" applyFont="1" applyFill="1" applyBorder="1"/>
    <xf numFmtId="0" fontId="2" fillId="0" borderId="1" xfId="0" applyFont="1" applyBorder="1"/>
    <xf numFmtId="0" fontId="2" fillId="0" borderId="3" xfId="0" applyFont="1" applyBorder="1" applyAlignment="1">
      <alignment vertical="center"/>
    </xf>
    <xf numFmtId="44" fontId="2" fillId="0" borderId="3" xfId="0" applyNumberFormat="1" applyFont="1" applyBorder="1" applyAlignment="1">
      <alignment horizontal="left" vertical="center"/>
    </xf>
    <xf numFmtId="44" fontId="2" fillId="0" borderId="0" xfId="0" applyNumberFormat="1" applyFont="1"/>
    <xf numFmtId="0" fontId="2" fillId="0" borderId="3" xfId="0" applyFont="1" applyBorder="1" applyAlignment="1">
      <alignment horizontal="left" vertical="center"/>
    </xf>
    <xf numFmtId="44" fontId="2" fillId="3" borderId="4" xfId="0" applyNumberFormat="1" applyFont="1" applyFill="1" applyBorder="1"/>
    <xf numFmtId="44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44" fontId="2" fillId="6" borderId="0" xfId="0" applyNumberFormat="1" applyFont="1" applyFill="1"/>
    <xf numFmtId="4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right"/>
    </xf>
    <xf numFmtId="0" fontId="2" fillId="5" borderId="0" xfId="0" applyFont="1" applyFill="1" applyAlignment="1">
      <alignment horizontal="right"/>
    </xf>
    <xf numFmtId="166" fontId="2" fillId="5" borderId="0" xfId="0" applyNumberFormat="1" applyFont="1" applyFill="1" applyAlignment="1">
      <alignment horizontal="left"/>
    </xf>
    <xf numFmtId="0" fontId="4" fillId="0" borderId="0" xfId="0" applyFont="1" applyAlignment="1">
      <alignment wrapText="1"/>
    </xf>
    <xf numFmtId="0" fontId="5" fillId="0" borderId="0" xfId="0" applyFont="1"/>
    <xf numFmtId="164" fontId="2" fillId="7" borderId="0" xfId="0" applyNumberFormat="1" applyFont="1" applyFill="1" applyAlignment="1">
      <alignment horizontal="left" vertical="center" wrapText="1"/>
    </xf>
    <xf numFmtId="164" fontId="2" fillId="8" borderId="0" xfId="0" applyNumberFormat="1" applyFont="1" applyFill="1" applyAlignment="1">
      <alignment horizontal="left" vertical="center" wrapText="1"/>
    </xf>
    <xf numFmtId="164" fontId="2" fillId="9" borderId="0" xfId="0" applyNumberFormat="1" applyFont="1" applyFill="1" applyAlignment="1">
      <alignment horizontal="left" vertical="center" wrapText="1"/>
    </xf>
    <xf numFmtId="164" fontId="2" fillId="10" borderId="0" xfId="0" applyNumberFormat="1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1" fillId="5" borderId="0" xfId="0" applyFont="1" applyFill="1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2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BDBDBD"/>
          <bgColor rgb="FFBDBDBD"/>
        </patternFill>
      </fill>
    </dxf>
  </dxfs>
  <tableStyles count="7">
    <tableStyle name="Track 1-Base+FF&amp;E-style" pivot="0" count="4" xr9:uid="{00000000-0011-0000-FFFF-FFFF00000000}">
      <tableStyleElement type="headerRow" dxfId="23"/>
      <tableStyleElement type="totalRow" dxfId="22"/>
      <tableStyleElement type="firstRowStripe" dxfId="21"/>
      <tableStyleElement type="secondRowStripe" dxfId="20"/>
    </tableStyle>
    <tableStyle name="Track 1-Base+FF&amp;E-style 2" pivot="0" count="3" xr9:uid="{00000000-0011-0000-FFFF-FFFF01000000}">
      <tableStyleElement type="totalRow" dxfId="19"/>
      <tableStyleElement type="firstRowStripe" dxfId="18"/>
      <tableStyleElement type="secondRowStripe" dxfId="17"/>
    </tableStyle>
    <tableStyle name="Track 1-Base+FF&amp;E-style 3" pivot="0" count="3" xr9:uid="{00000000-0011-0000-FFFF-FFFF02000000}">
      <tableStyleElement type="totalRow" dxfId="16"/>
      <tableStyleElement type="firstRowStripe" dxfId="15"/>
      <tableStyleElement type="secondRowStripe" dxfId="14"/>
    </tableStyle>
    <tableStyle name="Track 2-Base Scope Only-style" pivot="0" count="4" xr9:uid="{00000000-0011-0000-FFFF-FFFF03000000}">
      <tableStyleElement type="headerRow" dxfId="13"/>
      <tableStyleElement type="totalRow" dxfId="12"/>
      <tableStyleElement type="firstRowStripe" dxfId="11"/>
      <tableStyleElement type="secondRowStripe" dxfId="10"/>
    </tableStyle>
    <tableStyle name="Track 2-Base Scope Only-style 2" pivot="0" count="3" xr9:uid="{00000000-0011-0000-FFFF-FFFF04000000}">
      <tableStyleElement type="totalRow" dxfId="9"/>
      <tableStyleElement type="firstRowStripe" dxfId="8"/>
      <tableStyleElement type="secondRowStripe" dxfId="7"/>
    </tableStyle>
    <tableStyle name="Track 3 - Scope Refinement-style" pivot="0" count="4" xr9:uid="{00000000-0011-0000-FFFF-FFFF05000000}">
      <tableStyleElement type="headerRow" dxfId="6"/>
      <tableStyleElement type="totalRow" dxfId="5"/>
      <tableStyleElement type="firstRowStripe" dxfId="4"/>
      <tableStyleElement type="secondRowStripe" dxfId="3"/>
    </tableStyle>
    <tableStyle name="Track 3 - Scope Refinement-style 2" pivot="0" count="3" xr9:uid="{00000000-0011-0000-FFFF-FFFF06000000}"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E32" totalsRowCount="1">
  <tableColumns count="5">
    <tableColumn id="1" xr3:uid="{00000000-0010-0000-0000-000001000000}" name="CLIN #"/>
    <tableColumn id="2" xr3:uid="{00000000-0010-0000-0000-000002000000}" name="Scope Item" totalsRowLabel="Total GSA Project Base Scope (CLINS 0101 thru 0123)"/>
    <tableColumn id="3" xr3:uid="{00000000-0010-0000-0000-000003000000}" name="Shell" totalsRowLabel="$"/>
    <tableColumn id="4" xr3:uid="{00000000-0010-0000-0000-000004000000}" name="TI" totalsRowLabel="$"/>
    <tableColumn id="5" xr3:uid="{00000000-0010-0000-0000-000005000000}" name="Total" totalsRowLabel="$"/>
  </tableColumns>
  <tableStyleInfo name="Track 1-Base+FF&amp;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4:E42" headerRowCount="0" totalsRowCount="1">
  <tableColumns count="5">
    <tableColumn id="1" xr3:uid="{00000000-0010-0000-0100-000001000000}" name="Column1"/>
    <tableColumn id="2" xr3:uid="{00000000-0010-0000-0100-000002000000}" name="Column2" totalsRowLabel="Total GSA Project Allowances (CLINS 0124 thru 0131)"/>
    <tableColumn id="3" xr3:uid="{00000000-0010-0000-0100-000003000000}" name="Column3" totalsRowLabel="N/A"/>
    <tableColumn id="4" xr3:uid="{00000000-0010-0000-0100-000004000000}" name="Column4" totalsRowLabel="N/A"/>
    <tableColumn id="5" xr3:uid="{00000000-0010-0000-0100-000005000000}" name="Column5" totalsRowFunction="custom">
      <totalsRowFormula>SUM(E34:E41)</totalsRowFormula>
    </tableColumn>
  </tableColumns>
  <tableStyleInfo name="Track 1-Base+FF&amp;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44:E60" headerRowCount="0" totalsRowCount="1">
  <tableColumns count="5">
    <tableColumn id="1" xr3:uid="{00000000-0010-0000-0200-000001000000}" name="Column1"/>
    <tableColumn id="2" xr3:uid="{00000000-0010-0000-0200-000002000000}" name="Column2" totalsRowLabel="Total Tenant Agency FF&amp;E Work Items (CLINS 0132 thru 0147)"/>
    <tableColumn id="3" xr3:uid="{00000000-0010-0000-0200-000003000000}" name="Column3" totalsRowLabel="N/A"/>
    <tableColumn id="4" xr3:uid="{00000000-0010-0000-0200-000004000000}" name="Column4" totalsRowLabel="N/A"/>
    <tableColumn id="5" xr3:uid="{00000000-0010-0000-0200-000005000000}" name="Column5" totalsRowLabel="$"/>
  </tableColumns>
  <tableStyleInfo name="Track 1-Base+FF&amp;E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8:E32" totalsRowCount="1">
  <tableColumns count="5">
    <tableColumn id="1" xr3:uid="{00000000-0010-0000-0300-000001000000}" name="CLIN #"/>
    <tableColumn id="2" xr3:uid="{00000000-0010-0000-0300-000002000000}" name="Scope Item" totalsRowLabel="TOTAL EVALUATED PRICE FOR TRACK 1 (CLINS 0201 thru 0223)"/>
    <tableColumn id="3" xr3:uid="{00000000-0010-0000-0300-000003000000}" name="Shell" totalsRowLabel="$"/>
    <tableColumn id="4" xr3:uid="{00000000-0010-0000-0300-000004000000}" name="TI" totalsRowLabel="$"/>
    <tableColumn id="5" xr3:uid="{00000000-0010-0000-0300-000005000000}" name="Total" totalsRowLabel="$"/>
  </tableColumns>
  <tableStyleInfo name="Track 2-Base Scope Only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34:E42" headerRowCount="0" totalsRowCount="1">
  <tableColumns count="5">
    <tableColumn id="1" xr3:uid="{00000000-0010-0000-0400-000001000000}" name="Column1"/>
    <tableColumn id="2" xr3:uid="{00000000-0010-0000-0400-000002000000}" name="Column2" totalsRowLabel="Total GSA Project Allowances (CLINS 0224 thru 0231)"/>
    <tableColumn id="3" xr3:uid="{00000000-0010-0000-0400-000003000000}" name="Column3" totalsRowLabel="N/A"/>
    <tableColumn id="4" xr3:uid="{00000000-0010-0000-0400-000004000000}" name="Column4" totalsRowLabel="N/A"/>
    <tableColumn id="5" xr3:uid="{00000000-0010-0000-0400-000005000000}" name="Column5" totalsRowFunction="custom">
      <totalsRowFormula>SUM(E34:E41)</totalsRowFormula>
    </tableColumn>
  </tableColumns>
  <tableStyleInfo name="Track 2-Base Scope Only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8:E35" totalsRowCount="1">
  <tableColumns count="5">
    <tableColumn id="1" xr3:uid="{00000000-0010-0000-0500-000001000000}" name="CLIN #"/>
    <tableColumn id="2" xr3:uid="{00000000-0010-0000-0500-000002000000}" name="Scope Item" totalsRowLabel="Total GSA Project Base Scope (CLINS 0301 thru 0326)"/>
    <tableColumn id="3" xr3:uid="{00000000-0010-0000-0500-000003000000}" name="Shell" totalsRowLabel="$"/>
    <tableColumn id="4" xr3:uid="{00000000-0010-0000-0500-000004000000}" name="TI" totalsRowLabel="$"/>
    <tableColumn id="5" xr3:uid="{00000000-0010-0000-0500-000005000000}" name="Total (Shell + TI)" totalsRowLabel="$"/>
  </tableColumns>
  <tableStyleInfo name="Track 3 - Scope Refinement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7:E45" headerRowCount="0" totalsRowCount="1">
  <tableColumns count="5">
    <tableColumn id="1" xr3:uid="{00000000-0010-0000-0600-000001000000}" name="Column1"/>
    <tableColumn id="2" xr3:uid="{00000000-0010-0000-0600-000002000000}" name="Column2" totalsRowLabel="Total GSA Project Allowances (CLINS 0327 thru 0334)"/>
    <tableColumn id="3" xr3:uid="{00000000-0010-0000-0600-000003000000}" name="Column3" totalsRowLabel="N/A"/>
    <tableColumn id="4" xr3:uid="{00000000-0010-0000-0600-000004000000}" name="Column4" totalsRowLabel="N/A"/>
    <tableColumn id="5" xr3:uid="{00000000-0010-0000-0600-000005000000}" name="Column5" totalsRowFunction="custom">
      <totalsRowFormula>SUM(E37:E44)</totalsRowFormula>
    </tableColumn>
  </tableColumns>
  <tableStyleInfo name="Track 3 - Scope Refinement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62"/>
  <sheetViews>
    <sheetView topLeftCell="B1" zoomScale="70" zoomScaleNormal="70" workbookViewId="0">
      <pane ySplit="8" topLeftCell="A39" activePane="bottomLeft" state="frozen"/>
      <selection pane="bottomLeft" activeCell="G60" sqref="G60"/>
    </sheetView>
  </sheetViews>
  <sheetFormatPr defaultColWidth="12.6328125" defaultRowHeight="15" customHeight="1"/>
  <cols>
    <col min="1" max="1" width="11" customWidth="1"/>
    <col min="2" max="2" width="109.6328125" customWidth="1"/>
    <col min="3" max="3" width="16.453125" customWidth="1"/>
    <col min="4" max="4" width="15.453125" customWidth="1"/>
    <col min="5" max="5" width="16.08984375" customWidth="1"/>
  </cols>
  <sheetData>
    <row r="1" spans="1:5" ht="17">
      <c r="A1" s="73" t="s">
        <v>0</v>
      </c>
      <c r="B1" s="72"/>
      <c r="C1" s="2"/>
      <c r="D1" s="2"/>
      <c r="E1" s="2"/>
    </row>
    <row r="2" spans="1:5" ht="17">
      <c r="A2" s="73" t="s">
        <v>1</v>
      </c>
      <c r="B2" s="72"/>
      <c r="C2" s="2"/>
      <c r="D2" s="2"/>
      <c r="E2" s="2"/>
    </row>
    <row r="3" spans="1:5" ht="17">
      <c r="A3" s="73" t="s">
        <v>2</v>
      </c>
      <c r="B3" s="72"/>
      <c r="C3" s="2"/>
      <c r="D3" s="2"/>
      <c r="E3" s="2"/>
    </row>
    <row r="4" spans="1:5" ht="17">
      <c r="A4" s="3"/>
      <c r="B4" s="1"/>
      <c r="C4" s="2"/>
      <c r="D4" s="2"/>
      <c r="E4" s="2"/>
    </row>
    <row r="5" spans="1:5" ht="24.75" customHeight="1">
      <c r="A5" s="74" t="s">
        <v>3</v>
      </c>
      <c r="B5" s="72"/>
      <c r="C5" s="72"/>
      <c r="D5" s="72"/>
      <c r="E5" s="72"/>
    </row>
    <row r="6" spans="1:5">
      <c r="A6" s="75" t="s">
        <v>4</v>
      </c>
      <c r="B6" s="72"/>
      <c r="C6" s="72"/>
      <c r="D6" s="72"/>
      <c r="E6" s="72"/>
    </row>
    <row r="7" spans="1:5" ht="17">
      <c r="A7" s="3"/>
      <c r="B7" s="1"/>
      <c r="C7" s="2"/>
      <c r="D7" s="2"/>
      <c r="E7" s="2"/>
    </row>
    <row r="8" spans="1:5" ht="30" customHeight="1">
      <c r="A8" s="5" t="s">
        <v>5</v>
      </c>
      <c r="B8" s="6" t="s">
        <v>6</v>
      </c>
      <c r="C8" s="7" t="s">
        <v>7</v>
      </c>
      <c r="D8" s="7" t="s">
        <v>8</v>
      </c>
      <c r="E8" s="7" t="s">
        <v>9</v>
      </c>
    </row>
    <row r="9" spans="1:5" ht="30" customHeight="1">
      <c r="A9" s="8" t="s">
        <v>10</v>
      </c>
      <c r="B9" s="8" t="s">
        <v>11</v>
      </c>
      <c r="C9" s="9" t="s">
        <v>12</v>
      </c>
      <c r="D9" s="10" t="s">
        <v>13</v>
      </c>
      <c r="E9" s="9" t="s">
        <v>12</v>
      </c>
    </row>
    <row r="10" spans="1:5" ht="30" customHeight="1">
      <c r="A10" s="8" t="s">
        <v>14</v>
      </c>
      <c r="B10" s="8" t="s">
        <v>15</v>
      </c>
      <c r="C10" s="9" t="s">
        <v>12</v>
      </c>
      <c r="D10" s="10" t="s">
        <v>13</v>
      </c>
      <c r="E10" s="9" t="s">
        <v>12</v>
      </c>
    </row>
    <row r="11" spans="1:5" ht="30" customHeight="1">
      <c r="A11" s="8" t="s">
        <v>16</v>
      </c>
      <c r="B11" s="8" t="s">
        <v>17</v>
      </c>
      <c r="C11" s="9" t="s">
        <v>12</v>
      </c>
      <c r="D11" s="10" t="s">
        <v>13</v>
      </c>
      <c r="E11" s="9" t="s">
        <v>12</v>
      </c>
    </row>
    <row r="12" spans="1:5" ht="30" customHeight="1">
      <c r="A12" s="8" t="s">
        <v>18</v>
      </c>
      <c r="B12" s="8" t="s">
        <v>19</v>
      </c>
      <c r="C12" s="9" t="s">
        <v>12</v>
      </c>
      <c r="D12" s="10" t="s">
        <v>13</v>
      </c>
      <c r="E12" s="9" t="s">
        <v>12</v>
      </c>
    </row>
    <row r="13" spans="1:5" ht="30" customHeight="1">
      <c r="A13" s="8" t="s">
        <v>20</v>
      </c>
      <c r="B13" s="11" t="s">
        <v>21</v>
      </c>
      <c r="C13" s="9" t="s">
        <v>12</v>
      </c>
      <c r="D13" s="10" t="s">
        <v>13</v>
      </c>
      <c r="E13" s="9" t="s">
        <v>12</v>
      </c>
    </row>
    <row r="14" spans="1:5" ht="30" customHeight="1">
      <c r="A14" s="8" t="s">
        <v>22</v>
      </c>
      <c r="B14" s="11" t="s">
        <v>23</v>
      </c>
      <c r="C14" s="9" t="s">
        <v>12</v>
      </c>
      <c r="D14" s="10" t="s">
        <v>13</v>
      </c>
      <c r="E14" s="9" t="s">
        <v>12</v>
      </c>
    </row>
    <row r="15" spans="1:5" ht="30" customHeight="1">
      <c r="A15" s="8" t="s">
        <v>24</v>
      </c>
      <c r="B15" s="11" t="s">
        <v>25</v>
      </c>
      <c r="C15" s="9" t="s">
        <v>12</v>
      </c>
      <c r="D15" s="10" t="s">
        <v>13</v>
      </c>
      <c r="E15" s="9" t="s">
        <v>12</v>
      </c>
    </row>
    <row r="16" spans="1:5" ht="30" customHeight="1">
      <c r="A16" s="8" t="s">
        <v>26</v>
      </c>
      <c r="B16" s="8" t="s">
        <v>27</v>
      </c>
      <c r="C16" s="9" t="s">
        <v>12</v>
      </c>
      <c r="D16" s="10" t="s">
        <v>13</v>
      </c>
      <c r="E16" s="9" t="s">
        <v>12</v>
      </c>
    </row>
    <row r="17" spans="1:5" ht="30" customHeight="1">
      <c r="A17" s="8" t="s">
        <v>28</v>
      </c>
      <c r="B17" s="8" t="s">
        <v>29</v>
      </c>
      <c r="C17" s="9" t="s">
        <v>12</v>
      </c>
      <c r="D17" s="10" t="s">
        <v>13</v>
      </c>
      <c r="E17" s="9" t="s">
        <v>12</v>
      </c>
    </row>
    <row r="18" spans="1:5" ht="30" customHeight="1">
      <c r="A18" s="8" t="s">
        <v>30</v>
      </c>
      <c r="B18" s="8" t="s">
        <v>31</v>
      </c>
      <c r="C18" s="10" t="s">
        <v>13</v>
      </c>
      <c r="D18" s="10" t="s">
        <v>13</v>
      </c>
      <c r="E18" s="12" t="s">
        <v>12</v>
      </c>
    </row>
    <row r="19" spans="1:5" ht="30" customHeight="1">
      <c r="A19" s="8" t="s">
        <v>32</v>
      </c>
      <c r="B19" s="8" t="s">
        <v>33</v>
      </c>
      <c r="C19" s="10" t="s">
        <v>13</v>
      </c>
      <c r="D19" s="10" t="s">
        <v>13</v>
      </c>
      <c r="E19" s="12" t="s">
        <v>12</v>
      </c>
    </row>
    <row r="20" spans="1:5" ht="30" customHeight="1">
      <c r="A20" s="8" t="s">
        <v>34</v>
      </c>
      <c r="B20" s="8" t="s">
        <v>35</v>
      </c>
      <c r="C20" s="69" t="s">
        <v>12</v>
      </c>
      <c r="D20" s="70" t="s">
        <v>12</v>
      </c>
      <c r="E20" s="69" t="s">
        <v>12</v>
      </c>
    </row>
    <row r="21" spans="1:5" ht="30" customHeight="1">
      <c r="A21" s="8" t="s">
        <v>36</v>
      </c>
      <c r="B21" s="8" t="s">
        <v>37</v>
      </c>
      <c r="C21" s="67" t="s">
        <v>12</v>
      </c>
      <c r="D21" s="68" t="s">
        <v>12</v>
      </c>
      <c r="E21" s="67" t="s">
        <v>12</v>
      </c>
    </row>
    <row r="22" spans="1:5" ht="30" customHeight="1">
      <c r="A22" s="8" t="s">
        <v>38</v>
      </c>
      <c r="B22" s="8" t="s">
        <v>39</v>
      </c>
      <c r="C22" s="12" t="s">
        <v>12</v>
      </c>
      <c r="D22" s="12" t="s">
        <v>12</v>
      </c>
      <c r="E22" s="12" t="s">
        <v>12</v>
      </c>
    </row>
    <row r="23" spans="1:5" ht="30" customHeight="1">
      <c r="A23" s="8" t="s">
        <v>40</v>
      </c>
      <c r="B23" s="8" t="s">
        <v>41</v>
      </c>
      <c r="C23" s="12" t="s">
        <v>12</v>
      </c>
      <c r="D23" s="12" t="s">
        <v>12</v>
      </c>
      <c r="E23" s="12" t="s">
        <v>12</v>
      </c>
    </row>
    <row r="24" spans="1:5" ht="30" customHeight="1">
      <c r="A24" s="8" t="s">
        <v>42</v>
      </c>
      <c r="B24" s="8" t="s">
        <v>43</v>
      </c>
      <c r="C24" s="12" t="s">
        <v>12</v>
      </c>
      <c r="D24" s="12" t="s">
        <v>12</v>
      </c>
      <c r="E24" s="12" t="s">
        <v>12</v>
      </c>
    </row>
    <row r="25" spans="1:5" ht="30" customHeight="1">
      <c r="A25" s="8" t="s">
        <v>44</v>
      </c>
      <c r="B25" s="11" t="s">
        <v>45</v>
      </c>
      <c r="C25" s="12" t="s">
        <v>12</v>
      </c>
      <c r="D25" s="12" t="s">
        <v>12</v>
      </c>
      <c r="E25" s="12" t="s">
        <v>12</v>
      </c>
    </row>
    <row r="26" spans="1:5" ht="30" customHeight="1">
      <c r="A26" s="8" t="s">
        <v>46</v>
      </c>
      <c r="B26" s="8" t="s">
        <v>47</v>
      </c>
      <c r="C26" s="12" t="s">
        <v>12</v>
      </c>
      <c r="D26" s="10" t="s">
        <v>13</v>
      </c>
      <c r="E26" s="12" t="s">
        <v>12</v>
      </c>
    </row>
    <row r="27" spans="1:5" ht="30" customHeight="1">
      <c r="A27" s="8" t="s">
        <v>48</v>
      </c>
      <c r="B27" s="8" t="s">
        <v>49</v>
      </c>
      <c r="C27" s="12" t="s">
        <v>12</v>
      </c>
      <c r="D27" s="10" t="s">
        <v>13</v>
      </c>
      <c r="E27" s="12" t="s">
        <v>12</v>
      </c>
    </row>
    <row r="28" spans="1:5" ht="30" customHeight="1">
      <c r="A28" s="8" t="s">
        <v>50</v>
      </c>
      <c r="B28" s="8" t="s">
        <v>51</v>
      </c>
      <c r="C28" s="12" t="s">
        <v>12</v>
      </c>
      <c r="D28" s="10" t="s">
        <v>13</v>
      </c>
      <c r="E28" s="12" t="s">
        <v>12</v>
      </c>
    </row>
    <row r="29" spans="1:5" ht="30" customHeight="1">
      <c r="A29" s="8" t="s">
        <v>52</v>
      </c>
      <c r="B29" s="8" t="s">
        <v>53</v>
      </c>
      <c r="C29" s="12" t="s">
        <v>12</v>
      </c>
      <c r="D29" s="10" t="s">
        <v>13</v>
      </c>
      <c r="E29" s="12" t="s">
        <v>12</v>
      </c>
    </row>
    <row r="30" spans="1:5" ht="30" customHeight="1">
      <c r="A30" s="8" t="s">
        <v>54</v>
      </c>
      <c r="B30" s="8" t="s">
        <v>55</v>
      </c>
      <c r="C30" s="12" t="s">
        <v>12</v>
      </c>
      <c r="D30" s="12" t="s">
        <v>12</v>
      </c>
      <c r="E30" s="12" t="s">
        <v>12</v>
      </c>
    </row>
    <row r="31" spans="1:5" ht="30" customHeight="1">
      <c r="A31" s="8" t="s">
        <v>56</v>
      </c>
      <c r="B31" s="8" t="s">
        <v>57</v>
      </c>
      <c r="C31" s="12" t="s">
        <v>12</v>
      </c>
      <c r="D31" s="12" t="s">
        <v>12</v>
      </c>
      <c r="E31" s="12" t="s">
        <v>12</v>
      </c>
    </row>
    <row r="32" spans="1:5" ht="30" customHeight="1">
      <c r="A32" s="13"/>
      <c r="B32" s="14" t="s">
        <v>58</v>
      </c>
      <c r="C32" s="12" t="s">
        <v>12</v>
      </c>
      <c r="D32" s="12" t="s">
        <v>12</v>
      </c>
      <c r="E32" s="12" t="s">
        <v>12</v>
      </c>
    </row>
    <row r="33" spans="1:5" ht="30" customHeight="1">
      <c r="A33" s="71"/>
      <c r="B33" s="72"/>
      <c r="C33" s="72"/>
      <c r="D33" s="72"/>
      <c r="E33" s="72"/>
    </row>
    <row r="34" spans="1:5" ht="30" customHeight="1">
      <c r="A34" s="15" t="s">
        <v>59</v>
      </c>
      <c r="B34" s="15" t="s">
        <v>60</v>
      </c>
      <c r="C34" s="10" t="s">
        <v>13</v>
      </c>
      <c r="D34" s="10" t="s">
        <v>13</v>
      </c>
      <c r="E34" s="16">
        <v>400000</v>
      </c>
    </row>
    <row r="35" spans="1:5" ht="30" customHeight="1">
      <c r="A35" s="15" t="s">
        <v>61</v>
      </c>
      <c r="B35" s="17" t="s">
        <v>62</v>
      </c>
      <c r="C35" s="10" t="s">
        <v>13</v>
      </c>
      <c r="D35" s="10" t="s">
        <v>13</v>
      </c>
      <c r="E35" s="16">
        <v>1000000</v>
      </c>
    </row>
    <row r="36" spans="1:5" ht="30" customHeight="1">
      <c r="A36" s="15" t="s">
        <v>63</v>
      </c>
      <c r="B36" s="17" t="s">
        <v>64</v>
      </c>
      <c r="C36" s="10" t="s">
        <v>13</v>
      </c>
      <c r="D36" s="10" t="s">
        <v>13</v>
      </c>
      <c r="E36" s="16">
        <v>1000000</v>
      </c>
    </row>
    <row r="37" spans="1:5" ht="30" customHeight="1">
      <c r="A37" s="15" t="s">
        <v>65</v>
      </c>
      <c r="B37" s="15" t="s">
        <v>66</v>
      </c>
      <c r="C37" s="10" t="s">
        <v>13</v>
      </c>
      <c r="D37" s="10" t="s">
        <v>13</v>
      </c>
      <c r="E37" s="16">
        <f t="shared" ref="E37:E40" si="0">1150000/4</f>
        <v>287500</v>
      </c>
    </row>
    <row r="38" spans="1:5" ht="30" customHeight="1">
      <c r="A38" s="15" t="s">
        <v>67</v>
      </c>
      <c r="B38" s="15" t="s">
        <v>68</v>
      </c>
      <c r="C38" s="10" t="s">
        <v>13</v>
      </c>
      <c r="D38" s="10" t="s">
        <v>13</v>
      </c>
      <c r="E38" s="16">
        <f t="shared" si="0"/>
        <v>287500</v>
      </c>
    </row>
    <row r="39" spans="1:5" ht="30" customHeight="1">
      <c r="A39" s="15" t="s">
        <v>69</v>
      </c>
      <c r="B39" s="17" t="s">
        <v>70</v>
      </c>
      <c r="C39" s="10" t="s">
        <v>13</v>
      </c>
      <c r="D39" s="10" t="s">
        <v>13</v>
      </c>
      <c r="E39" s="16">
        <f t="shared" si="0"/>
        <v>287500</v>
      </c>
    </row>
    <row r="40" spans="1:5" ht="30" customHeight="1">
      <c r="A40" s="15" t="s">
        <v>71</v>
      </c>
      <c r="B40" s="17" t="s">
        <v>72</v>
      </c>
      <c r="C40" s="10" t="s">
        <v>13</v>
      </c>
      <c r="D40" s="10" t="s">
        <v>13</v>
      </c>
      <c r="E40" s="16">
        <f t="shared" si="0"/>
        <v>287500</v>
      </c>
    </row>
    <row r="41" spans="1:5" ht="30" customHeight="1">
      <c r="A41" s="15" t="s">
        <v>73</v>
      </c>
      <c r="B41" s="15" t="s">
        <v>74</v>
      </c>
      <c r="C41" s="10" t="s">
        <v>13</v>
      </c>
      <c r="D41" s="10" t="s">
        <v>13</v>
      </c>
      <c r="E41" s="16">
        <v>2000000</v>
      </c>
    </row>
    <row r="42" spans="1:5" ht="30" customHeight="1">
      <c r="A42" s="13"/>
      <c r="B42" s="14" t="s">
        <v>75</v>
      </c>
      <c r="C42" s="10" t="s">
        <v>13</v>
      </c>
      <c r="D42" s="10" t="s">
        <v>13</v>
      </c>
      <c r="E42" s="16">
        <f>SUM(E34:E41)</f>
        <v>5550000</v>
      </c>
    </row>
    <row r="43" spans="1:5" ht="30" customHeight="1">
      <c r="A43" s="71"/>
      <c r="B43" s="72"/>
      <c r="C43" s="72"/>
      <c r="D43" s="72"/>
      <c r="E43" s="72"/>
    </row>
    <row r="44" spans="1:5" ht="30" customHeight="1">
      <c r="A44" s="8" t="s">
        <v>76</v>
      </c>
      <c r="B44" s="8" t="s">
        <v>77</v>
      </c>
      <c r="C44" s="10" t="s">
        <v>13</v>
      </c>
      <c r="D44" s="10" t="s">
        <v>13</v>
      </c>
      <c r="E44" s="12" t="s">
        <v>12</v>
      </c>
    </row>
    <row r="45" spans="1:5" ht="30" customHeight="1">
      <c r="A45" s="8" t="s">
        <v>78</v>
      </c>
      <c r="B45" s="8" t="s">
        <v>79</v>
      </c>
      <c r="C45" s="10" t="s">
        <v>13</v>
      </c>
      <c r="D45" s="10" t="s">
        <v>13</v>
      </c>
      <c r="E45" s="12" t="s">
        <v>12</v>
      </c>
    </row>
    <row r="46" spans="1:5" ht="30" customHeight="1">
      <c r="A46" s="8" t="s">
        <v>80</v>
      </c>
      <c r="B46" s="8" t="s">
        <v>81</v>
      </c>
      <c r="C46" s="10" t="s">
        <v>13</v>
      </c>
      <c r="D46" s="10" t="s">
        <v>13</v>
      </c>
      <c r="E46" s="12" t="s">
        <v>12</v>
      </c>
    </row>
    <row r="47" spans="1:5" ht="30" customHeight="1">
      <c r="A47" s="8" t="s">
        <v>82</v>
      </c>
      <c r="B47" s="8" t="s">
        <v>83</v>
      </c>
      <c r="C47" s="10" t="s">
        <v>13</v>
      </c>
      <c r="D47" s="10" t="s">
        <v>13</v>
      </c>
      <c r="E47" s="12" t="s">
        <v>12</v>
      </c>
    </row>
    <row r="48" spans="1:5" ht="30" customHeight="1">
      <c r="A48" s="8" t="s">
        <v>84</v>
      </c>
      <c r="B48" s="8" t="s">
        <v>85</v>
      </c>
      <c r="C48" s="10" t="s">
        <v>13</v>
      </c>
      <c r="D48" s="10" t="s">
        <v>13</v>
      </c>
      <c r="E48" s="12" t="s">
        <v>12</v>
      </c>
    </row>
    <row r="49" spans="1:5" ht="30" customHeight="1">
      <c r="A49" s="8" t="s">
        <v>86</v>
      </c>
      <c r="B49" s="8" t="s">
        <v>87</v>
      </c>
      <c r="C49" s="10" t="s">
        <v>13</v>
      </c>
      <c r="D49" s="10" t="s">
        <v>13</v>
      </c>
      <c r="E49" s="12" t="s">
        <v>12</v>
      </c>
    </row>
    <row r="50" spans="1:5" ht="30" customHeight="1">
      <c r="A50" s="8" t="s">
        <v>88</v>
      </c>
      <c r="B50" s="8" t="s">
        <v>89</v>
      </c>
      <c r="C50" s="10" t="s">
        <v>13</v>
      </c>
      <c r="D50" s="10" t="s">
        <v>13</v>
      </c>
      <c r="E50" s="12" t="s">
        <v>12</v>
      </c>
    </row>
    <row r="51" spans="1:5" ht="30" customHeight="1">
      <c r="A51" s="8" t="s">
        <v>90</v>
      </c>
      <c r="B51" s="8" t="s">
        <v>91</v>
      </c>
      <c r="C51" s="10" t="s">
        <v>13</v>
      </c>
      <c r="D51" s="10" t="s">
        <v>13</v>
      </c>
      <c r="E51" s="12" t="s">
        <v>12</v>
      </c>
    </row>
    <row r="52" spans="1:5" ht="30" customHeight="1">
      <c r="A52" s="8" t="s">
        <v>92</v>
      </c>
      <c r="B52" s="8" t="s">
        <v>93</v>
      </c>
      <c r="C52" s="10" t="s">
        <v>13</v>
      </c>
      <c r="D52" s="10" t="s">
        <v>13</v>
      </c>
      <c r="E52" s="12" t="s">
        <v>12</v>
      </c>
    </row>
    <row r="53" spans="1:5" ht="33.75" customHeight="1">
      <c r="A53" s="8" t="s">
        <v>94</v>
      </c>
      <c r="B53" s="8" t="s">
        <v>95</v>
      </c>
      <c r="C53" s="10" t="s">
        <v>13</v>
      </c>
      <c r="D53" s="10" t="s">
        <v>13</v>
      </c>
      <c r="E53" s="12" t="s">
        <v>12</v>
      </c>
    </row>
    <row r="54" spans="1:5" ht="33" customHeight="1">
      <c r="A54" s="8" t="s">
        <v>96</v>
      </c>
      <c r="B54" s="8" t="s">
        <v>97</v>
      </c>
      <c r="C54" s="10" t="s">
        <v>13</v>
      </c>
      <c r="D54" s="10" t="s">
        <v>13</v>
      </c>
      <c r="E54" s="12" t="s">
        <v>12</v>
      </c>
    </row>
    <row r="55" spans="1:5" ht="30" customHeight="1">
      <c r="A55" s="8" t="s">
        <v>98</v>
      </c>
      <c r="B55" s="8" t="s">
        <v>99</v>
      </c>
      <c r="C55" s="10" t="s">
        <v>13</v>
      </c>
      <c r="D55" s="10" t="s">
        <v>13</v>
      </c>
      <c r="E55" s="12" t="s">
        <v>12</v>
      </c>
    </row>
    <row r="56" spans="1:5" ht="30" customHeight="1">
      <c r="A56" s="8" t="s">
        <v>100</v>
      </c>
      <c r="B56" s="8" t="s">
        <v>101</v>
      </c>
      <c r="C56" s="10" t="s">
        <v>13</v>
      </c>
      <c r="D56" s="10" t="s">
        <v>13</v>
      </c>
      <c r="E56" s="12" t="s">
        <v>12</v>
      </c>
    </row>
    <row r="57" spans="1:5" ht="30" customHeight="1">
      <c r="A57" s="8" t="s">
        <v>102</v>
      </c>
      <c r="B57" s="8" t="s">
        <v>103</v>
      </c>
      <c r="C57" s="10" t="s">
        <v>13</v>
      </c>
      <c r="D57" s="10" t="s">
        <v>13</v>
      </c>
      <c r="E57" s="12" t="s">
        <v>12</v>
      </c>
    </row>
    <row r="58" spans="1:5" ht="30" customHeight="1">
      <c r="A58" s="8" t="s">
        <v>104</v>
      </c>
      <c r="B58" s="8" t="s">
        <v>105</v>
      </c>
      <c r="C58" s="10" t="s">
        <v>13</v>
      </c>
      <c r="D58" s="10" t="s">
        <v>13</v>
      </c>
      <c r="E58" s="12" t="s">
        <v>12</v>
      </c>
    </row>
    <row r="59" spans="1:5" ht="30" customHeight="1">
      <c r="A59" s="8" t="s">
        <v>106</v>
      </c>
      <c r="B59" s="8" t="s">
        <v>107</v>
      </c>
      <c r="C59" s="10" t="s">
        <v>13</v>
      </c>
      <c r="D59" s="10" t="s">
        <v>13</v>
      </c>
      <c r="E59" s="12" t="s">
        <v>12</v>
      </c>
    </row>
    <row r="60" spans="1:5" ht="30" customHeight="1">
      <c r="A60" s="18"/>
      <c r="B60" s="19" t="s">
        <v>108</v>
      </c>
      <c r="C60" s="20" t="s">
        <v>13</v>
      </c>
      <c r="D60" s="20" t="s">
        <v>13</v>
      </c>
      <c r="E60" s="21" t="s">
        <v>12</v>
      </c>
    </row>
    <row r="61" spans="1:5" ht="30" customHeight="1">
      <c r="A61" s="22"/>
      <c r="B61" s="22"/>
      <c r="C61" s="23"/>
      <c r="D61" s="23"/>
      <c r="E61" s="23"/>
    </row>
    <row r="62" spans="1:5" ht="30" customHeight="1">
      <c r="A62" s="24"/>
      <c r="B62" s="25" t="s">
        <v>109</v>
      </c>
      <c r="C62" s="26" t="s">
        <v>12</v>
      </c>
      <c r="D62" s="26" t="s">
        <v>12</v>
      </c>
      <c r="E62" s="26" t="s">
        <v>12</v>
      </c>
    </row>
  </sheetData>
  <mergeCells count="7">
    <mergeCell ref="A33:E33"/>
    <mergeCell ref="A43:E43"/>
    <mergeCell ref="A1:B1"/>
    <mergeCell ref="A2:B2"/>
    <mergeCell ref="A3:B3"/>
    <mergeCell ref="A5:E5"/>
    <mergeCell ref="A6:E6"/>
  </mergeCells>
  <printOptions horizontalCentered="1"/>
  <pageMargins left="0.25" right="0.25" top="0.25" bottom="0.25" header="0" footer="0"/>
  <pageSetup fitToHeight="0" pageOrder="overThenDown" orientation="portrait" cellComments="atEnd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E44"/>
  <sheetViews>
    <sheetView zoomScale="60" zoomScaleNormal="60" workbookViewId="0">
      <pane ySplit="8" topLeftCell="A37" activePane="bottomLeft" state="frozen"/>
      <selection pane="bottomLeft" activeCell="C21" sqref="C21:E21"/>
    </sheetView>
  </sheetViews>
  <sheetFormatPr defaultColWidth="12.6328125" defaultRowHeight="15" customHeight="1"/>
  <cols>
    <col min="1" max="1" width="11" customWidth="1"/>
    <col min="2" max="2" width="78.7265625" customWidth="1"/>
    <col min="3" max="3" width="16.453125" customWidth="1"/>
    <col min="4" max="4" width="15.453125" customWidth="1"/>
    <col min="5" max="5" width="17.90625" customWidth="1"/>
  </cols>
  <sheetData>
    <row r="1" spans="1:5" ht="17">
      <c r="A1" s="73" t="s">
        <v>0</v>
      </c>
      <c r="B1" s="72"/>
      <c r="C1" s="2"/>
      <c r="D1" s="2"/>
      <c r="E1" s="2"/>
    </row>
    <row r="2" spans="1:5" ht="17">
      <c r="A2" s="73" t="s">
        <v>1</v>
      </c>
      <c r="B2" s="72"/>
      <c r="C2" s="2"/>
      <c r="D2" s="2"/>
      <c r="E2" s="2"/>
    </row>
    <row r="3" spans="1:5" ht="17">
      <c r="A3" s="73" t="s">
        <v>2</v>
      </c>
      <c r="B3" s="72"/>
      <c r="C3" s="2"/>
      <c r="D3" s="2"/>
      <c r="E3" s="2"/>
    </row>
    <row r="4" spans="1:5" ht="17">
      <c r="A4" s="3"/>
      <c r="B4" s="1"/>
      <c r="C4" s="2"/>
      <c r="D4" s="2"/>
      <c r="E4" s="2"/>
    </row>
    <row r="5" spans="1:5" ht="17">
      <c r="A5" s="74" t="s">
        <v>110</v>
      </c>
      <c r="B5" s="72"/>
      <c r="C5" s="72"/>
      <c r="D5" s="72"/>
      <c r="E5" s="72"/>
    </row>
    <row r="6" spans="1:5">
      <c r="A6" s="75" t="s">
        <v>111</v>
      </c>
      <c r="B6" s="72"/>
      <c r="C6" s="72"/>
      <c r="D6" s="72"/>
      <c r="E6" s="72"/>
    </row>
    <row r="7" spans="1:5" ht="17">
      <c r="A7" s="3"/>
      <c r="B7" s="1"/>
      <c r="C7" s="2"/>
      <c r="D7" s="2"/>
      <c r="E7" s="2"/>
    </row>
    <row r="8" spans="1:5" ht="30" customHeight="1">
      <c r="A8" s="27" t="s">
        <v>5</v>
      </c>
      <c r="B8" s="28" t="s">
        <v>6</v>
      </c>
      <c r="C8" s="29" t="s">
        <v>7</v>
      </c>
      <c r="D8" s="29" t="s">
        <v>8</v>
      </c>
      <c r="E8" s="29" t="s">
        <v>9</v>
      </c>
    </row>
    <row r="9" spans="1:5" ht="30" customHeight="1">
      <c r="A9" s="30" t="s">
        <v>112</v>
      </c>
      <c r="B9" s="8" t="s">
        <v>11</v>
      </c>
      <c r="C9" s="12" t="s">
        <v>12</v>
      </c>
      <c r="D9" s="10" t="s">
        <v>13</v>
      </c>
      <c r="E9" s="12" t="s">
        <v>12</v>
      </c>
    </row>
    <row r="10" spans="1:5" ht="30" customHeight="1">
      <c r="A10" s="30" t="s">
        <v>113</v>
      </c>
      <c r="B10" s="8" t="s">
        <v>15</v>
      </c>
      <c r="C10" s="12" t="s">
        <v>12</v>
      </c>
      <c r="D10" s="10" t="s">
        <v>13</v>
      </c>
      <c r="E10" s="12" t="s">
        <v>12</v>
      </c>
    </row>
    <row r="11" spans="1:5" ht="30" customHeight="1">
      <c r="A11" s="30" t="s">
        <v>114</v>
      </c>
      <c r="B11" s="8" t="s">
        <v>17</v>
      </c>
      <c r="C11" s="12" t="s">
        <v>12</v>
      </c>
      <c r="D11" s="10" t="s">
        <v>13</v>
      </c>
      <c r="E11" s="12" t="s">
        <v>12</v>
      </c>
    </row>
    <row r="12" spans="1:5" ht="30" customHeight="1">
      <c r="A12" s="30" t="s">
        <v>115</v>
      </c>
      <c r="B12" s="8" t="s">
        <v>19</v>
      </c>
      <c r="C12" s="12" t="s">
        <v>12</v>
      </c>
      <c r="D12" s="10" t="s">
        <v>13</v>
      </c>
      <c r="E12" s="12" t="s">
        <v>12</v>
      </c>
    </row>
    <row r="13" spans="1:5" ht="30" customHeight="1">
      <c r="A13" s="30" t="s">
        <v>116</v>
      </c>
      <c r="B13" s="11" t="s">
        <v>21</v>
      </c>
      <c r="C13" s="12" t="s">
        <v>12</v>
      </c>
      <c r="D13" s="10" t="s">
        <v>13</v>
      </c>
      <c r="E13" s="12" t="s">
        <v>12</v>
      </c>
    </row>
    <row r="14" spans="1:5" ht="30" customHeight="1">
      <c r="A14" s="30" t="s">
        <v>117</v>
      </c>
      <c r="B14" s="11" t="s">
        <v>23</v>
      </c>
      <c r="C14" s="12" t="s">
        <v>12</v>
      </c>
      <c r="D14" s="10" t="s">
        <v>13</v>
      </c>
      <c r="E14" s="12" t="s">
        <v>12</v>
      </c>
    </row>
    <row r="15" spans="1:5" ht="30" customHeight="1">
      <c r="A15" s="30" t="s">
        <v>118</v>
      </c>
      <c r="B15" s="11" t="s">
        <v>25</v>
      </c>
      <c r="C15" s="12" t="s">
        <v>12</v>
      </c>
      <c r="D15" s="10" t="s">
        <v>13</v>
      </c>
      <c r="E15" s="12" t="s">
        <v>12</v>
      </c>
    </row>
    <row r="16" spans="1:5" ht="30" customHeight="1">
      <c r="A16" s="8" t="s">
        <v>119</v>
      </c>
      <c r="B16" s="8" t="s">
        <v>27</v>
      </c>
      <c r="C16" s="12" t="s">
        <v>12</v>
      </c>
      <c r="D16" s="10" t="s">
        <v>13</v>
      </c>
      <c r="E16" s="12" t="s">
        <v>12</v>
      </c>
    </row>
    <row r="17" spans="1:5" ht="30" customHeight="1">
      <c r="A17" s="8" t="s">
        <v>120</v>
      </c>
      <c r="B17" s="8" t="s">
        <v>29</v>
      </c>
      <c r="C17" s="12" t="s">
        <v>12</v>
      </c>
      <c r="D17" s="10" t="s">
        <v>13</v>
      </c>
      <c r="E17" s="12" t="s">
        <v>12</v>
      </c>
    </row>
    <row r="18" spans="1:5" ht="30" customHeight="1">
      <c r="A18" s="30" t="s">
        <v>121</v>
      </c>
      <c r="B18" s="8" t="s">
        <v>31</v>
      </c>
      <c r="C18" s="10" t="s">
        <v>13</v>
      </c>
      <c r="D18" s="10" t="s">
        <v>13</v>
      </c>
      <c r="E18" s="12" t="s">
        <v>12</v>
      </c>
    </row>
    <row r="19" spans="1:5" ht="30" customHeight="1">
      <c r="A19" s="30" t="s">
        <v>122</v>
      </c>
      <c r="B19" s="8" t="s">
        <v>33</v>
      </c>
      <c r="C19" s="10" t="s">
        <v>13</v>
      </c>
      <c r="D19" s="10" t="s">
        <v>13</v>
      </c>
      <c r="E19" s="12" t="s">
        <v>12</v>
      </c>
    </row>
    <row r="20" spans="1:5" ht="30" customHeight="1">
      <c r="A20" s="30" t="s">
        <v>123</v>
      </c>
      <c r="B20" s="8" t="s">
        <v>35</v>
      </c>
      <c r="C20" s="69" t="s">
        <v>12</v>
      </c>
      <c r="D20" s="70" t="s">
        <v>12</v>
      </c>
      <c r="E20" s="69" t="s">
        <v>12</v>
      </c>
    </row>
    <row r="21" spans="1:5" ht="30" customHeight="1">
      <c r="A21" s="30" t="s">
        <v>124</v>
      </c>
      <c r="B21" s="8" t="s">
        <v>37</v>
      </c>
      <c r="C21" s="67" t="s">
        <v>12</v>
      </c>
      <c r="D21" s="68" t="s">
        <v>12</v>
      </c>
      <c r="E21" s="67" t="s">
        <v>12</v>
      </c>
    </row>
    <row r="22" spans="1:5" ht="33.75" customHeight="1">
      <c r="A22" s="30" t="s">
        <v>125</v>
      </c>
      <c r="B22" s="8" t="s">
        <v>39</v>
      </c>
      <c r="C22" s="12" t="s">
        <v>12</v>
      </c>
      <c r="D22" s="12" t="s">
        <v>12</v>
      </c>
      <c r="E22" s="12" t="s">
        <v>12</v>
      </c>
    </row>
    <row r="23" spans="1:5" ht="33" customHeight="1">
      <c r="A23" s="30" t="s">
        <v>126</v>
      </c>
      <c r="B23" s="8" t="s">
        <v>41</v>
      </c>
      <c r="C23" s="12" t="s">
        <v>12</v>
      </c>
      <c r="D23" s="12" t="s">
        <v>12</v>
      </c>
      <c r="E23" s="12" t="s">
        <v>12</v>
      </c>
    </row>
    <row r="24" spans="1:5" ht="30" customHeight="1">
      <c r="A24" s="30" t="s">
        <v>127</v>
      </c>
      <c r="B24" s="8" t="s">
        <v>43</v>
      </c>
      <c r="C24" s="12" t="s">
        <v>12</v>
      </c>
      <c r="D24" s="12" t="s">
        <v>12</v>
      </c>
      <c r="E24" s="12" t="s">
        <v>12</v>
      </c>
    </row>
    <row r="25" spans="1:5" ht="30" customHeight="1">
      <c r="A25" s="30" t="s">
        <v>128</v>
      </c>
      <c r="B25" s="11" t="s">
        <v>45</v>
      </c>
      <c r="C25" s="12" t="s">
        <v>12</v>
      </c>
      <c r="D25" s="12" t="s">
        <v>12</v>
      </c>
      <c r="E25" s="12" t="s">
        <v>12</v>
      </c>
    </row>
    <row r="26" spans="1:5" ht="30" customHeight="1">
      <c r="A26" s="30" t="s">
        <v>129</v>
      </c>
      <c r="B26" s="8" t="s">
        <v>47</v>
      </c>
      <c r="C26" s="12" t="s">
        <v>12</v>
      </c>
      <c r="D26" s="10" t="s">
        <v>13</v>
      </c>
      <c r="E26" s="12" t="s">
        <v>12</v>
      </c>
    </row>
    <row r="27" spans="1:5" ht="30" customHeight="1">
      <c r="A27" s="30" t="s">
        <v>130</v>
      </c>
      <c r="B27" s="8" t="s">
        <v>49</v>
      </c>
      <c r="C27" s="12" t="s">
        <v>12</v>
      </c>
      <c r="D27" s="10" t="s">
        <v>13</v>
      </c>
      <c r="E27" s="12" t="s">
        <v>12</v>
      </c>
    </row>
    <row r="28" spans="1:5" ht="30" customHeight="1">
      <c r="A28" s="30" t="s">
        <v>131</v>
      </c>
      <c r="B28" s="8" t="s">
        <v>51</v>
      </c>
      <c r="C28" s="12" t="s">
        <v>12</v>
      </c>
      <c r="D28" s="10" t="s">
        <v>13</v>
      </c>
      <c r="E28" s="12" t="s">
        <v>12</v>
      </c>
    </row>
    <row r="29" spans="1:5" ht="30" customHeight="1">
      <c r="A29" s="30" t="s">
        <v>132</v>
      </c>
      <c r="B29" s="8" t="s">
        <v>53</v>
      </c>
      <c r="C29" s="12" t="s">
        <v>12</v>
      </c>
      <c r="D29" s="10" t="s">
        <v>13</v>
      </c>
      <c r="E29" s="12" t="s">
        <v>12</v>
      </c>
    </row>
    <row r="30" spans="1:5" ht="30" customHeight="1">
      <c r="A30" s="30" t="s">
        <v>133</v>
      </c>
      <c r="B30" s="8" t="s">
        <v>55</v>
      </c>
      <c r="C30" s="12" t="s">
        <v>12</v>
      </c>
      <c r="D30" s="12" t="s">
        <v>12</v>
      </c>
      <c r="E30" s="12" t="s">
        <v>12</v>
      </c>
    </row>
    <row r="31" spans="1:5" ht="30" customHeight="1">
      <c r="A31" s="30" t="s">
        <v>134</v>
      </c>
      <c r="B31" s="8" t="s">
        <v>57</v>
      </c>
      <c r="C31" s="12" t="s">
        <v>12</v>
      </c>
      <c r="D31" s="12" t="s">
        <v>12</v>
      </c>
      <c r="E31" s="12" t="s">
        <v>12</v>
      </c>
    </row>
    <row r="32" spans="1:5" ht="30" customHeight="1">
      <c r="A32" s="30"/>
      <c r="B32" s="19" t="s">
        <v>135</v>
      </c>
      <c r="C32" s="31" t="s">
        <v>12</v>
      </c>
      <c r="D32" s="31" t="s">
        <v>12</v>
      </c>
      <c r="E32" s="31" t="s">
        <v>12</v>
      </c>
    </row>
    <row r="33" spans="1:5" ht="30" customHeight="1">
      <c r="A33" s="32"/>
      <c r="B33" s="33"/>
      <c r="C33" s="33"/>
      <c r="D33" s="33"/>
      <c r="E33" s="33"/>
    </row>
    <row r="34" spans="1:5" ht="30" customHeight="1">
      <c r="A34" s="34" t="s">
        <v>136</v>
      </c>
      <c r="B34" s="34" t="s">
        <v>60</v>
      </c>
      <c r="C34" s="35" t="s">
        <v>13</v>
      </c>
      <c r="D34" s="35" t="s">
        <v>13</v>
      </c>
      <c r="E34" s="36">
        <v>400000</v>
      </c>
    </row>
    <row r="35" spans="1:5" ht="30" customHeight="1">
      <c r="A35" s="34" t="s">
        <v>137</v>
      </c>
      <c r="B35" s="37" t="s">
        <v>62</v>
      </c>
      <c r="C35" s="35" t="s">
        <v>13</v>
      </c>
      <c r="D35" s="35" t="s">
        <v>13</v>
      </c>
      <c r="E35" s="36">
        <v>1000000</v>
      </c>
    </row>
    <row r="36" spans="1:5" ht="30" customHeight="1">
      <c r="A36" s="34" t="s">
        <v>138</v>
      </c>
      <c r="B36" s="37" t="s">
        <v>64</v>
      </c>
      <c r="C36" s="35" t="s">
        <v>13</v>
      </c>
      <c r="D36" s="35" t="s">
        <v>13</v>
      </c>
      <c r="E36" s="36">
        <v>1000000</v>
      </c>
    </row>
    <row r="37" spans="1:5" ht="30" customHeight="1">
      <c r="A37" s="34" t="s">
        <v>139</v>
      </c>
      <c r="B37" s="37" t="s">
        <v>66</v>
      </c>
      <c r="C37" s="35" t="s">
        <v>13</v>
      </c>
      <c r="D37" s="35" t="s">
        <v>13</v>
      </c>
      <c r="E37" s="36">
        <f t="shared" ref="E37:E40" si="0">1150000/4</f>
        <v>287500</v>
      </c>
    </row>
    <row r="38" spans="1:5" ht="30" customHeight="1">
      <c r="A38" s="34" t="s">
        <v>140</v>
      </c>
      <c r="B38" s="34" t="s">
        <v>68</v>
      </c>
      <c r="C38" s="35" t="s">
        <v>13</v>
      </c>
      <c r="D38" s="35" t="s">
        <v>13</v>
      </c>
      <c r="E38" s="36">
        <f t="shared" si="0"/>
        <v>287500</v>
      </c>
    </row>
    <row r="39" spans="1:5" ht="30" customHeight="1">
      <c r="A39" s="34" t="s">
        <v>141</v>
      </c>
      <c r="B39" s="34" t="s">
        <v>70</v>
      </c>
      <c r="C39" s="35" t="s">
        <v>13</v>
      </c>
      <c r="D39" s="35" t="s">
        <v>13</v>
      </c>
      <c r="E39" s="36">
        <f t="shared" si="0"/>
        <v>287500</v>
      </c>
    </row>
    <row r="40" spans="1:5" ht="30" customHeight="1">
      <c r="A40" s="34" t="s">
        <v>142</v>
      </c>
      <c r="B40" s="34" t="s">
        <v>72</v>
      </c>
      <c r="C40" s="35" t="s">
        <v>13</v>
      </c>
      <c r="D40" s="35" t="s">
        <v>13</v>
      </c>
      <c r="E40" s="36">
        <f t="shared" si="0"/>
        <v>287500</v>
      </c>
    </row>
    <row r="41" spans="1:5" ht="30" customHeight="1">
      <c r="A41" s="34" t="s">
        <v>143</v>
      </c>
      <c r="B41" s="38" t="s">
        <v>74</v>
      </c>
      <c r="C41" s="35" t="s">
        <v>13</v>
      </c>
      <c r="D41" s="35" t="s">
        <v>13</v>
      </c>
      <c r="E41" s="36">
        <v>2000000</v>
      </c>
    </row>
    <row r="42" spans="1:5" ht="30" customHeight="1">
      <c r="A42" s="1"/>
      <c r="B42" s="19" t="s">
        <v>144</v>
      </c>
      <c r="C42" s="39" t="s">
        <v>13</v>
      </c>
      <c r="D42" s="39" t="s">
        <v>13</v>
      </c>
      <c r="E42" s="40">
        <f>SUM(E34:E41)</f>
        <v>5550000</v>
      </c>
    </row>
    <row r="43" spans="1:5" ht="30" customHeight="1">
      <c r="A43" s="76"/>
      <c r="B43" s="72"/>
      <c r="C43" s="72"/>
      <c r="D43" s="72"/>
      <c r="E43" s="72"/>
    </row>
    <row r="44" spans="1:5" ht="30" customHeight="1">
      <c r="A44" s="41"/>
      <c r="B44" s="25" t="s">
        <v>145</v>
      </c>
      <c r="C44" s="42" t="s">
        <v>12</v>
      </c>
      <c r="D44" s="42" t="s">
        <v>12</v>
      </c>
      <c r="E44" s="42" t="s">
        <v>12</v>
      </c>
    </row>
  </sheetData>
  <mergeCells count="6">
    <mergeCell ref="A43:E43"/>
    <mergeCell ref="A1:B1"/>
    <mergeCell ref="A2:B2"/>
    <mergeCell ref="A3:B3"/>
    <mergeCell ref="A5:E5"/>
    <mergeCell ref="A6:E6"/>
  </mergeCells>
  <printOptions horizontalCentered="1"/>
  <pageMargins left="0.25" right="0.25" top="0.25" bottom="0.75" header="0" footer="0"/>
  <pageSetup fitToHeight="0" pageOrder="overThenDown" orientation="portrait" cellComments="atEnd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F48"/>
  <sheetViews>
    <sheetView zoomScale="60" zoomScaleNormal="60" workbookViewId="0">
      <pane ySplit="8" topLeftCell="A39" activePane="bottomLeft" state="frozen"/>
      <selection pane="bottomLeft" activeCell="B10" sqref="B10"/>
    </sheetView>
  </sheetViews>
  <sheetFormatPr defaultColWidth="12.6328125" defaultRowHeight="15" customHeight="1" outlineLevelCol="1"/>
  <cols>
    <col min="1" max="1" width="11" customWidth="1"/>
    <col min="2" max="2" width="89.36328125" customWidth="1"/>
    <col min="3" max="3" width="16.453125" customWidth="1"/>
    <col min="4" max="4" width="14.26953125" customWidth="1"/>
    <col min="5" max="5" width="17.26953125" customWidth="1" collapsed="1"/>
    <col min="6" max="6" width="14.08984375" hidden="1" customWidth="1" outlineLevel="1"/>
  </cols>
  <sheetData>
    <row r="1" spans="1:6" ht="17">
      <c r="A1" s="73" t="s">
        <v>0</v>
      </c>
      <c r="B1" s="72"/>
      <c r="C1" s="1"/>
      <c r="D1" s="1"/>
      <c r="E1" s="1"/>
      <c r="F1" s="43"/>
    </row>
    <row r="2" spans="1:6" ht="17">
      <c r="A2" s="73" t="s">
        <v>1</v>
      </c>
      <c r="B2" s="72"/>
      <c r="C2" s="1"/>
      <c r="D2" s="1"/>
      <c r="E2" s="1"/>
      <c r="F2" s="43"/>
    </row>
    <row r="3" spans="1:6" ht="17">
      <c r="A3" s="73" t="s">
        <v>2</v>
      </c>
      <c r="B3" s="72"/>
      <c r="C3" s="1"/>
      <c r="D3" s="1"/>
      <c r="E3" s="1"/>
      <c r="F3" s="43"/>
    </row>
    <row r="4" spans="1:6" ht="17">
      <c r="A4" s="3"/>
      <c r="B4" s="1"/>
      <c r="C4" s="1"/>
      <c r="D4" s="1"/>
      <c r="E4" s="1"/>
      <c r="F4" s="43"/>
    </row>
    <row r="5" spans="1:6" ht="17">
      <c r="A5" s="74" t="s">
        <v>146</v>
      </c>
      <c r="B5" s="72"/>
      <c r="C5" s="72"/>
      <c r="D5" s="72"/>
      <c r="E5" s="72"/>
      <c r="F5" s="43"/>
    </row>
    <row r="6" spans="1:6">
      <c r="A6" s="75" t="s">
        <v>147</v>
      </c>
      <c r="B6" s="72"/>
      <c r="C6" s="72"/>
      <c r="D6" s="72"/>
      <c r="E6" s="72"/>
      <c r="F6" s="72"/>
    </row>
    <row r="7" spans="1:6" ht="17">
      <c r="A7" s="3"/>
      <c r="B7" s="1"/>
      <c r="C7" s="1"/>
      <c r="D7" s="1"/>
      <c r="E7" s="1"/>
      <c r="F7" s="44"/>
    </row>
    <row r="8" spans="1:6" ht="30" customHeight="1">
      <c r="A8" s="27" t="s">
        <v>5</v>
      </c>
      <c r="B8" s="28" t="s">
        <v>6</v>
      </c>
      <c r="C8" s="45" t="s">
        <v>7</v>
      </c>
      <c r="D8" s="45" t="s">
        <v>8</v>
      </c>
      <c r="E8" s="45" t="s">
        <v>148</v>
      </c>
      <c r="F8" s="46" t="s">
        <v>149</v>
      </c>
    </row>
    <row r="9" spans="1:6" ht="30" customHeight="1">
      <c r="A9" s="30" t="s">
        <v>150</v>
      </c>
      <c r="B9" s="30" t="s">
        <v>11</v>
      </c>
      <c r="C9" s="47" t="s">
        <v>12</v>
      </c>
      <c r="D9" s="48" t="s">
        <v>13</v>
      </c>
      <c r="E9" s="47" t="s">
        <v>12</v>
      </c>
      <c r="F9" s="43"/>
    </row>
    <row r="10" spans="1:6" ht="30" customHeight="1">
      <c r="A10" s="30" t="s">
        <v>151</v>
      </c>
      <c r="B10" s="30" t="s">
        <v>152</v>
      </c>
      <c r="C10" s="47" t="s">
        <v>12</v>
      </c>
      <c r="D10" s="48" t="s">
        <v>13</v>
      </c>
      <c r="E10" s="47" t="s">
        <v>12</v>
      </c>
      <c r="F10" s="49" t="str">
        <f t="shared" ref="F10:F13" si="0">C10</f>
        <v>$</v>
      </c>
    </row>
    <row r="11" spans="1:6" ht="30" customHeight="1">
      <c r="A11" s="30" t="s">
        <v>153</v>
      </c>
      <c r="B11" s="30" t="s">
        <v>154</v>
      </c>
      <c r="C11" s="47" t="s">
        <v>12</v>
      </c>
      <c r="D11" s="48" t="s">
        <v>13</v>
      </c>
      <c r="E11" s="47" t="s">
        <v>12</v>
      </c>
      <c r="F11" s="49" t="str">
        <f t="shared" si="0"/>
        <v>$</v>
      </c>
    </row>
    <row r="12" spans="1:6" ht="30" customHeight="1">
      <c r="A12" s="30" t="s">
        <v>155</v>
      </c>
      <c r="B12" s="30" t="s">
        <v>27</v>
      </c>
      <c r="C12" s="47" t="s">
        <v>12</v>
      </c>
      <c r="D12" s="48" t="s">
        <v>13</v>
      </c>
      <c r="E12" s="47" t="s">
        <v>12</v>
      </c>
      <c r="F12" s="49" t="str">
        <f t="shared" si="0"/>
        <v>$</v>
      </c>
    </row>
    <row r="13" spans="1:6" ht="30" customHeight="1">
      <c r="A13" s="30" t="s">
        <v>156</v>
      </c>
      <c r="B13" s="30" t="s">
        <v>29</v>
      </c>
      <c r="C13" s="47" t="s">
        <v>12</v>
      </c>
      <c r="D13" s="48" t="s">
        <v>13</v>
      </c>
      <c r="E13" s="47" t="s">
        <v>12</v>
      </c>
      <c r="F13" s="49" t="str">
        <f t="shared" si="0"/>
        <v>$</v>
      </c>
    </row>
    <row r="14" spans="1:6" ht="30" customHeight="1">
      <c r="A14" s="30" t="s">
        <v>157</v>
      </c>
      <c r="B14" s="30" t="s">
        <v>31</v>
      </c>
      <c r="C14" s="48" t="s">
        <v>13</v>
      </c>
      <c r="D14" s="48" t="s">
        <v>13</v>
      </c>
      <c r="E14" s="47" t="s">
        <v>12</v>
      </c>
      <c r="F14" s="3"/>
    </row>
    <row r="15" spans="1:6" ht="30" customHeight="1">
      <c r="A15" s="30" t="s">
        <v>158</v>
      </c>
      <c r="B15" s="30" t="s">
        <v>33</v>
      </c>
      <c r="C15" s="48" t="s">
        <v>13</v>
      </c>
      <c r="D15" s="48" t="s">
        <v>13</v>
      </c>
      <c r="E15" s="47" t="s">
        <v>12</v>
      </c>
      <c r="F15" s="50"/>
    </row>
    <row r="16" spans="1:6" ht="30" customHeight="1">
      <c r="A16" s="30" t="s">
        <v>159</v>
      </c>
      <c r="B16" s="30" t="s">
        <v>35</v>
      </c>
      <c r="C16" s="47" t="s">
        <v>12</v>
      </c>
      <c r="D16" s="47" t="s">
        <v>12</v>
      </c>
      <c r="E16" s="47" t="s">
        <v>12</v>
      </c>
      <c r="F16" s="49" t="str">
        <f t="shared" ref="F16:F19" si="1">C16</f>
        <v>$</v>
      </c>
    </row>
    <row r="17" spans="1:6" ht="30" customHeight="1">
      <c r="A17" s="30" t="s">
        <v>160</v>
      </c>
      <c r="B17" s="30" t="s">
        <v>37</v>
      </c>
      <c r="C17" s="47" t="s">
        <v>12</v>
      </c>
      <c r="D17" s="47" t="s">
        <v>12</v>
      </c>
      <c r="E17" s="47" t="s">
        <v>12</v>
      </c>
      <c r="F17" s="49" t="str">
        <f t="shared" si="1"/>
        <v>$</v>
      </c>
    </row>
    <row r="18" spans="1:6" ht="30" customHeight="1">
      <c r="A18" s="30" t="s">
        <v>161</v>
      </c>
      <c r="B18" s="30" t="s">
        <v>162</v>
      </c>
      <c r="C18" s="47" t="s">
        <v>12</v>
      </c>
      <c r="D18" s="47" t="s">
        <v>12</v>
      </c>
      <c r="E18" s="47" t="s">
        <v>12</v>
      </c>
      <c r="F18" s="49" t="str">
        <f t="shared" si="1"/>
        <v>$</v>
      </c>
    </row>
    <row r="19" spans="1:6" ht="30" customHeight="1">
      <c r="A19" s="30" t="s">
        <v>163</v>
      </c>
      <c r="B19" s="30" t="s">
        <v>43</v>
      </c>
      <c r="C19" s="47" t="s">
        <v>12</v>
      </c>
      <c r="D19" s="47" t="s">
        <v>12</v>
      </c>
      <c r="E19" s="47" t="s">
        <v>12</v>
      </c>
      <c r="F19" s="49" t="str">
        <f t="shared" si="1"/>
        <v>$</v>
      </c>
    </row>
    <row r="20" spans="1:6" ht="30" customHeight="1">
      <c r="A20" s="30" t="s">
        <v>164</v>
      </c>
      <c r="B20" s="30" t="s">
        <v>47</v>
      </c>
      <c r="C20" s="47" t="s">
        <v>12</v>
      </c>
      <c r="D20" s="47" t="s">
        <v>12</v>
      </c>
      <c r="E20" s="47" t="s">
        <v>12</v>
      </c>
      <c r="F20" s="3"/>
    </row>
    <row r="21" spans="1:6" ht="30" customHeight="1">
      <c r="A21" s="30" t="s">
        <v>165</v>
      </c>
      <c r="B21" s="30" t="s">
        <v>51</v>
      </c>
      <c r="C21" s="47" t="s">
        <v>12</v>
      </c>
      <c r="D21" s="48" t="s">
        <v>13</v>
      </c>
      <c r="E21" s="47" t="s">
        <v>12</v>
      </c>
      <c r="F21" s="3"/>
    </row>
    <row r="22" spans="1:6" ht="30" customHeight="1">
      <c r="A22" s="51" t="s">
        <v>166</v>
      </c>
      <c r="B22" s="51" t="s">
        <v>55</v>
      </c>
      <c r="C22" s="52" t="s">
        <v>12</v>
      </c>
      <c r="D22" s="52" t="s">
        <v>12</v>
      </c>
      <c r="E22" s="52" t="s">
        <v>12</v>
      </c>
      <c r="F22" s="53"/>
    </row>
    <row r="23" spans="1:6" ht="30" customHeight="1">
      <c r="A23" s="30" t="s">
        <v>167</v>
      </c>
      <c r="B23" s="30" t="s">
        <v>168</v>
      </c>
      <c r="C23" s="47" t="s">
        <v>12</v>
      </c>
      <c r="D23" s="48" t="s">
        <v>13</v>
      </c>
      <c r="E23" s="47" t="s">
        <v>12</v>
      </c>
      <c r="F23" s="49" t="str">
        <f>C23</f>
        <v>$</v>
      </c>
    </row>
    <row r="24" spans="1:6" ht="30" customHeight="1">
      <c r="A24" s="30" t="s">
        <v>169</v>
      </c>
      <c r="B24" s="30" t="s">
        <v>170</v>
      </c>
      <c r="C24" s="47" t="s">
        <v>12</v>
      </c>
      <c r="D24" s="48" t="s">
        <v>13</v>
      </c>
      <c r="E24" s="47" t="s">
        <v>12</v>
      </c>
      <c r="F24" s="3"/>
    </row>
    <row r="25" spans="1:6" ht="30" customHeight="1">
      <c r="A25" s="30" t="s">
        <v>171</v>
      </c>
      <c r="B25" s="38" t="s">
        <v>172</v>
      </c>
      <c r="C25" s="47" t="s">
        <v>12</v>
      </c>
      <c r="D25" s="48" t="s">
        <v>13</v>
      </c>
      <c r="E25" s="47" t="s">
        <v>12</v>
      </c>
      <c r="F25" s="3"/>
    </row>
    <row r="26" spans="1:6" ht="30" customHeight="1">
      <c r="A26" s="30" t="s">
        <v>173</v>
      </c>
      <c r="B26" s="38" t="s">
        <v>174</v>
      </c>
      <c r="C26" s="47" t="s">
        <v>12</v>
      </c>
      <c r="D26" s="48" t="s">
        <v>13</v>
      </c>
      <c r="E26" s="47" t="s">
        <v>12</v>
      </c>
      <c r="F26" s="3"/>
    </row>
    <row r="27" spans="1:6" ht="30" customHeight="1">
      <c r="A27" s="30" t="s">
        <v>175</v>
      </c>
      <c r="B27" s="38" t="s">
        <v>176</v>
      </c>
      <c r="C27" s="47" t="s">
        <v>12</v>
      </c>
      <c r="D27" s="48" t="s">
        <v>13</v>
      </c>
      <c r="E27" s="47" t="s">
        <v>12</v>
      </c>
      <c r="F27" s="3"/>
    </row>
    <row r="28" spans="1:6" ht="30" customHeight="1">
      <c r="A28" s="51" t="s">
        <v>177</v>
      </c>
      <c r="B28" s="51" t="s">
        <v>178</v>
      </c>
      <c r="C28" s="52" t="s">
        <v>12</v>
      </c>
      <c r="D28" s="52" t="s">
        <v>12</v>
      </c>
      <c r="E28" s="52" t="s">
        <v>12</v>
      </c>
      <c r="F28" s="49" t="str">
        <f>C28</f>
        <v>$</v>
      </c>
    </row>
    <row r="29" spans="1:6" ht="30" customHeight="1">
      <c r="A29" s="30" t="s">
        <v>179</v>
      </c>
      <c r="B29" s="38" t="s">
        <v>180</v>
      </c>
      <c r="C29" s="47" t="s">
        <v>12</v>
      </c>
      <c r="D29" s="48" t="s">
        <v>13</v>
      </c>
      <c r="E29" s="47" t="s">
        <v>12</v>
      </c>
      <c r="F29" s="49"/>
    </row>
    <row r="30" spans="1:6" ht="30" customHeight="1">
      <c r="A30" s="51" t="s">
        <v>181</v>
      </c>
      <c r="B30" s="54" t="s">
        <v>182</v>
      </c>
      <c r="C30" s="52" t="s">
        <v>12</v>
      </c>
      <c r="D30" s="52" t="s">
        <v>12</v>
      </c>
      <c r="E30" s="52" t="s">
        <v>12</v>
      </c>
      <c r="F30" s="55" t="str">
        <f>C30</f>
        <v>$</v>
      </c>
    </row>
    <row r="31" spans="1:6" ht="30" customHeight="1">
      <c r="A31" s="30" t="s">
        <v>183</v>
      </c>
      <c r="B31" s="30" t="s">
        <v>184</v>
      </c>
      <c r="C31" s="47" t="s">
        <v>12</v>
      </c>
      <c r="D31" s="48" t="s">
        <v>13</v>
      </c>
      <c r="E31" s="47" t="s">
        <v>12</v>
      </c>
      <c r="F31" s="3"/>
    </row>
    <row r="32" spans="1:6" ht="30" customHeight="1">
      <c r="A32" s="51" t="s">
        <v>185</v>
      </c>
      <c r="B32" s="51" t="s">
        <v>186</v>
      </c>
      <c r="C32" s="52" t="s">
        <v>12</v>
      </c>
      <c r="D32" s="52" t="s">
        <v>12</v>
      </c>
      <c r="E32" s="52" t="s">
        <v>12</v>
      </c>
      <c r="F32" s="3"/>
    </row>
    <row r="33" spans="1:6" ht="30" customHeight="1">
      <c r="A33" s="51" t="s">
        <v>187</v>
      </c>
      <c r="B33" s="51" t="s">
        <v>188</v>
      </c>
      <c r="C33" s="52" t="s">
        <v>12</v>
      </c>
      <c r="D33" s="56" t="s">
        <v>13</v>
      </c>
      <c r="E33" s="52" t="s">
        <v>12</v>
      </c>
      <c r="F33" s="3"/>
    </row>
    <row r="34" spans="1:6" ht="30" customHeight="1">
      <c r="A34" s="30" t="s">
        <v>189</v>
      </c>
      <c r="B34" s="30" t="s">
        <v>190</v>
      </c>
      <c r="C34" s="47" t="s">
        <v>12</v>
      </c>
      <c r="D34" s="47" t="s">
        <v>12</v>
      </c>
      <c r="E34" s="47" t="s">
        <v>12</v>
      </c>
      <c r="F34" s="53"/>
    </row>
    <row r="35" spans="1:6" ht="30" customHeight="1">
      <c r="A35" s="32"/>
      <c r="B35" s="57" t="s">
        <v>191</v>
      </c>
      <c r="C35" s="47" t="s">
        <v>12</v>
      </c>
      <c r="D35" s="47" t="s">
        <v>12</v>
      </c>
      <c r="E35" s="47" t="s">
        <v>12</v>
      </c>
      <c r="F35" s="58">
        <f>SUM(F16:F33)</f>
        <v>0</v>
      </c>
    </row>
    <row r="36" spans="1:6" ht="30" customHeight="1">
      <c r="A36" s="76"/>
      <c r="B36" s="72"/>
      <c r="C36" s="72"/>
      <c r="D36" s="72"/>
      <c r="E36" s="72"/>
      <c r="F36" s="43"/>
    </row>
    <row r="37" spans="1:6" ht="30" customHeight="1">
      <c r="A37" s="34" t="s">
        <v>192</v>
      </c>
      <c r="B37" s="34" t="s">
        <v>60</v>
      </c>
      <c r="C37" s="48" t="s">
        <v>13</v>
      </c>
      <c r="D37" s="48" t="s">
        <v>13</v>
      </c>
      <c r="E37" s="59">
        <v>400000</v>
      </c>
      <c r="F37" s="3"/>
    </row>
    <row r="38" spans="1:6" ht="30" customHeight="1">
      <c r="A38" s="34" t="s">
        <v>193</v>
      </c>
      <c r="B38" s="37" t="s">
        <v>62</v>
      </c>
      <c r="C38" s="48" t="s">
        <v>13</v>
      </c>
      <c r="D38" s="48" t="s">
        <v>13</v>
      </c>
      <c r="E38" s="59">
        <v>1000000</v>
      </c>
      <c r="F38" s="1"/>
    </row>
    <row r="39" spans="1:6" ht="30" customHeight="1">
      <c r="A39" s="34" t="s">
        <v>194</v>
      </c>
      <c r="B39" s="37" t="s">
        <v>64</v>
      </c>
      <c r="C39" s="48" t="s">
        <v>13</v>
      </c>
      <c r="D39" s="48" t="s">
        <v>13</v>
      </c>
      <c r="E39" s="59">
        <v>1000000</v>
      </c>
      <c r="F39" s="1"/>
    </row>
    <row r="40" spans="1:6" ht="30" customHeight="1">
      <c r="A40" s="34" t="s">
        <v>195</v>
      </c>
      <c r="B40" s="37" t="s">
        <v>66</v>
      </c>
      <c r="C40" s="35" t="s">
        <v>13</v>
      </c>
      <c r="D40" s="35" t="s">
        <v>13</v>
      </c>
      <c r="E40" s="36">
        <f t="shared" ref="E40:E43" si="2">1150000/4</f>
        <v>287500</v>
      </c>
      <c r="F40" s="1"/>
    </row>
    <row r="41" spans="1:6" ht="30" customHeight="1">
      <c r="A41" s="34" t="s">
        <v>196</v>
      </c>
      <c r="B41" s="34" t="s">
        <v>68</v>
      </c>
      <c r="C41" s="48" t="s">
        <v>13</v>
      </c>
      <c r="D41" s="48" t="s">
        <v>13</v>
      </c>
      <c r="E41" s="59">
        <f t="shared" si="2"/>
        <v>287500</v>
      </c>
      <c r="F41" s="3"/>
    </row>
    <row r="42" spans="1:6" ht="30" customHeight="1">
      <c r="A42" s="34" t="s">
        <v>197</v>
      </c>
      <c r="B42" s="37" t="s">
        <v>70</v>
      </c>
      <c r="C42" s="48" t="s">
        <v>13</v>
      </c>
      <c r="D42" s="48" t="s">
        <v>13</v>
      </c>
      <c r="E42" s="59">
        <f t="shared" si="2"/>
        <v>287500</v>
      </c>
      <c r="F42" s="1"/>
    </row>
    <row r="43" spans="1:6" ht="30" customHeight="1">
      <c r="A43" s="34" t="s">
        <v>198</v>
      </c>
      <c r="B43" s="37" t="s">
        <v>72</v>
      </c>
      <c r="C43" s="48" t="s">
        <v>13</v>
      </c>
      <c r="D43" s="48" t="s">
        <v>13</v>
      </c>
      <c r="E43" s="59">
        <f t="shared" si="2"/>
        <v>287500</v>
      </c>
      <c r="F43" s="1"/>
    </row>
    <row r="44" spans="1:6" ht="30" customHeight="1">
      <c r="A44" s="34" t="s">
        <v>199</v>
      </c>
      <c r="B44" s="37" t="s">
        <v>74</v>
      </c>
      <c r="C44" s="35" t="s">
        <v>13</v>
      </c>
      <c r="D44" s="35" t="s">
        <v>13</v>
      </c>
      <c r="E44" s="36">
        <v>2000000</v>
      </c>
      <c r="F44" s="1"/>
    </row>
    <row r="45" spans="1:6" ht="30" customHeight="1">
      <c r="A45" s="1"/>
      <c r="B45" s="60" t="s">
        <v>200</v>
      </c>
      <c r="C45" s="61" t="s">
        <v>13</v>
      </c>
      <c r="D45" s="61" t="s">
        <v>13</v>
      </c>
      <c r="E45" s="62">
        <f>SUM(E37:E44)</f>
        <v>5550000</v>
      </c>
      <c r="F45" s="43"/>
    </row>
    <row r="46" spans="1:6" ht="30" customHeight="1">
      <c r="A46" s="76"/>
      <c r="B46" s="72"/>
      <c r="C46" s="72"/>
      <c r="D46" s="72"/>
      <c r="E46" s="72"/>
      <c r="F46" s="43"/>
    </row>
    <row r="47" spans="1:6" ht="30" customHeight="1">
      <c r="A47" s="41"/>
      <c r="B47" s="63" t="s">
        <v>201</v>
      </c>
      <c r="C47" s="64" t="s">
        <v>12</v>
      </c>
      <c r="D47" s="64" t="s">
        <v>12</v>
      </c>
      <c r="E47" s="64" t="s">
        <v>12</v>
      </c>
      <c r="F47" s="43"/>
    </row>
    <row r="48" spans="1:6" ht="36" customHeight="1">
      <c r="A48" s="77" t="s">
        <v>202</v>
      </c>
      <c r="B48" s="72"/>
      <c r="C48" s="72"/>
      <c r="D48" s="72"/>
      <c r="E48" s="72"/>
      <c r="F48" s="65"/>
    </row>
  </sheetData>
  <mergeCells count="8">
    <mergeCell ref="A36:E36"/>
    <mergeCell ref="A46:E46"/>
    <mergeCell ref="A48:E48"/>
    <mergeCell ref="A1:B1"/>
    <mergeCell ref="A2:B2"/>
    <mergeCell ref="A3:B3"/>
    <mergeCell ref="A5:E5"/>
    <mergeCell ref="A6:F6"/>
  </mergeCells>
  <printOptions horizontalCentered="1"/>
  <pageMargins left="0.25" right="0.25" top="0.25" bottom="0.25" header="0" footer="0"/>
  <pageSetup fitToHeight="0" pageOrder="overThenDown" orientation="portrait" cellComments="atEnd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1"/>
  <sheetViews>
    <sheetView tabSelected="1" workbookViewId="0">
      <selection sqref="A1:B1"/>
    </sheetView>
  </sheetViews>
  <sheetFormatPr defaultColWidth="12.6328125" defaultRowHeight="15" customHeight="1"/>
  <cols>
    <col min="1" max="1" width="50.453125" customWidth="1"/>
    <col min="2" max="2" width="24.36328125" customWidth="1"/>
  </cols>
  <sheetData>
    <row r="1" spans="1:26" ht="15" customHeight="1">
      <c r="A1" s="78" t="s">
        <v>203</v>
      </c>
      <c r="B1" s="72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5" customHeight="1">
      <c r="A2" s="4"/>
      <c r="B2" s="4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" customHeight="1">
      <c r="A3" s="4" t="s">
        <v>204</v>
      </c>
      <c r="B3" s="4" t="s">
        <v>205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5" customHeight="1">
      <c r="A4" s="4" t="s">
        <v>206</v>
      </c>
      <c r="B4" s="4" t="s">
        <v>205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5" customHeight="1">
      <c r="A5" s="4" t="s">
        <v>207</v>
      </c>
      <c r="B5" s="4" t="s">
        <v>12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5" customHeight="1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5" customHeight="1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5" customHeight="1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5" customHeight="1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5" customHeight="1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7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7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7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7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7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7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7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7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7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7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7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7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7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7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7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7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7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7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7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7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7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7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7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7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7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7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7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7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7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7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7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7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7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7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7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7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7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7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7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7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7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7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7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7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7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7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7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7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7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7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7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7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7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7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7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7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7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7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7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7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7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7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7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7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7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7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7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7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7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7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7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7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7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7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7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7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7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7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7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7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7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7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7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7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7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7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7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7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7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7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7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7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7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7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7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7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7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7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7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7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7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7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7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7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7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7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7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7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7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7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7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7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7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7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7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7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7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7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7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7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7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7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7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7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7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7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7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7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7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7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7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7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7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7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7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7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7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7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7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7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7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7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7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7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7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7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7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7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7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7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7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7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7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7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7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7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7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7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7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7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7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7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7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7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7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7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7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7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7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7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7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7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7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7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7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7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7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7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7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7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7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7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7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7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7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7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7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7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7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7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7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7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7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7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7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7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7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7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7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7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7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7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7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7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7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7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7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7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7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7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7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7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7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7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7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7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7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7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7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7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7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7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7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7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7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7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7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7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7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7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7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7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7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7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7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7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7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7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7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7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7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7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7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7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7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7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7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7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7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7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7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7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7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7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7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7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7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7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7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7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7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7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7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7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7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7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7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7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7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7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7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7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7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7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7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7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7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7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7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7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7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7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7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7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7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7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7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7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7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7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7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7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7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7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7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7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7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7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7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7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7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7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7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7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7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7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7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7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7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7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7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7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7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7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7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7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7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7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7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7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7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7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7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7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7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7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7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7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7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7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7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7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7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7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7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7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7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7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7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7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7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7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7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7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7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7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7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7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7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7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7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7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7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7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7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7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7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7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7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7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7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7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7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7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7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7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7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7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7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7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7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7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7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7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7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7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7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7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7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7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7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7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7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7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7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7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7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7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7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7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7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7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7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7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7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7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7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7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7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7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7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7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7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7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7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7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7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7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7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7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7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7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7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7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7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7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7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7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7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7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7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7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7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7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7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7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7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7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7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7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7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7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7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7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7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7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7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7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7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7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7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7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7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7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7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7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7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7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7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7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7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7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7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7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7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7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7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7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7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7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7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7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7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7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7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7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7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7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7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7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7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7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7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7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7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7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7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7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7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7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7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7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7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7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7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7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7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7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7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7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7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7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7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7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7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7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7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7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7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7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7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7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7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7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7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7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7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7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7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7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7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7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7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7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7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7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7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7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7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7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7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7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7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7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7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7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7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7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7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7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7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7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7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7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7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7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7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7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7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7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7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7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7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7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7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7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7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7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7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7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7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7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7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7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7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7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7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7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7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7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7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7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7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7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7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7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7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7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7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7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7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7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7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7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7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7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7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7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7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7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7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7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7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7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7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7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7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7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7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7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7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7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7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7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7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7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7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7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7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7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7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7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7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7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7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7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7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7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7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7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7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7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7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7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7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7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7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7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7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7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7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7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7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7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7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7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7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7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7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7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7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7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7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7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7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7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7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7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7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7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7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7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7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7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7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7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7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7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7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7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7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7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7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7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7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7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7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7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7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7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7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7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7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7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7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7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7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7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7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7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7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7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7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7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7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7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7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7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7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7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7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7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7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7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7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7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7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7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7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7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7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7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7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7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7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7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7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7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7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7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7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7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7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7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7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7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7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7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7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7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7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7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7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7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7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7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7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7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7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7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7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7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7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7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7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7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7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7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7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7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7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7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7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7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7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7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7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7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7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7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7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7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7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7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7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7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7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7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7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7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7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7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7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7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7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7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7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7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7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7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7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7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7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7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7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7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7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7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7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7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7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7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7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7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7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7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7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7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7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7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7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7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7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7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7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7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7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7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7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7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7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7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7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7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7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7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7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7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7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7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7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7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7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7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7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7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7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7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7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7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7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7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7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7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7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7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7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7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7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7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7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7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7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7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7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7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7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7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7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7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7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7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7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7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7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7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7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7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7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7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7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7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7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7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7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7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7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7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7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7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7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7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7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7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7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7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7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7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7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7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7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7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7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7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7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7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7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7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7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7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7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7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7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7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7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7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7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7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7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7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7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7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7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7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7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7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7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7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7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17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 ht="1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 ht="17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17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1:26" ht="17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  <row r="1001" spans="1:26" ht="17">
      <c r="A1001" s="66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Track 1-Base+FF&amp;E</vt:lpstr>
      <vt:lpstr>Track 2-Base Scope Only</vt:lpstr>
      <vt:lpstr>Track 3 - Scope Refinement</vt:lpstr>
      <vt:lpstr>Optional Bid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DanielRRamirez</cp:lastModifiedBy>
  <dcterms:modified xsi:type="dcterms:W3CDTF">2026-02-09T19:27:54Z</dcterms:modified>
</cp:coreProperties>
</file>